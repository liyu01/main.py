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2 VPC\02 制造系统分析培训资料\05 刷新信息\20221220 E2QL 23MY S1\"/>
    </mc:Choice>
  </mc:AlternateContent>
  <bookViews>
    <workbookView xWindow="0" yWindow="0" windowWidth="20490" windowHeight="7650"/>
  </bookViews>
  <sheets>
    <sheet name="OPTIONS_s3etlk_221226_1433" sheetId="1" r:id="rId1"/>
  </sheets>
  <calcPr calcId="0"/>
</workbook>
</file>

<file path=xl/calcChain.xml><?xml version="1.0" encoding="utf-8"?>
<calcChain xmlns="http://schemas.openxmlformats.org/spreadsheetml/2006/main">
  <c r="A6" i="1" l="1"/>
  <c r="B6" i="1"/>
  <c r="C6" i="1"/>
  <c r="D6" i="1"/>
  <c r="E6" i="1"/>
  <c r="F6" i="1"/>
  <c r="G6" i="1"/>
  <c r="H6" i="1"/>
  <c r="I6" i="1"/>
  <c r="J6" i="1"/>
  <c r="K6" i="1"/>
  <c r="L6" i="1"/>
  <c r="M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A30" i="1"/>
  <c r="B30" i="1"/>
  <c r="C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A43" i="1"/>
  <c r="B43" i="1"/>
  <c r="C43" i="1"/>
  <c r="D43" i="1"/>
  <c r="E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A67" i="1"/>
  <c r="B67" i="1"/>
  <c r="C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A80" i="1"/>
  <c r="B80" i="1"/>
  <c r="C80" i="1"/>
  <c r="D80" i="1"/>
  <c r="E80" i="1"/>
  <c r="F80" i="1"/>
  <c r="G80" i="1"/>
  <c r="H80" i="1"/>
  <c r="I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A93" i="1"/>
  <c r="B93" i="1"/>
  <c r="C93" i="1"/>
  <c r="D93" i="1"/>
  <c r="E93" i="1"/>
  <c r="F93" i="1"/>
  <c r="G93" i="1"/>
  <c r="H93" i="1"/>
  <c r="I93" i="1"/>
  <c r="J93" i="1"/>
  <c r="K93" i="1"/>
  <c r="L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A106" i="1"/>
  <c r="B106" i="1"/>
  <c r="C106" i="1"/>
  <c r="D106" i="1"/>
  <c r="E106" i="1"/>
  <c r="F106" i="1"/>
  <c r="G106" i="1"/>
  <c r="H106" i="1"/>
  <c r="I106" i="1"/>
  <c r="J106" i="1"/>
  <c r="K106" i="1"/>
  <c r="L106" i="1"/>
</calcChain>
</file>

<file path=xl/sharedStrings.xml><?xml version="1.0" encoding="utf-8"?>
<sst xmlns="http://schemas.openxmlformats.org/spreadsheetml/2006/main" count="19" uniqueCount="19">
  <si>
    <t>Orderlist Report Result</t>
  </si>
  <si>
    <t>OPTIONS</t>
  </si>
  <si>
    <t>#</t>
  </si>
  <si>
    <t>CSN</t>
  </si>
  <si>
    <t>STAGE</t>
  </si>
  <si>
    <t>ADD ORDER</t>
  </si>
  <si>
    <t>PVI</t>
  </si>
  <si>
    <t>VIN</t>
  </si>
  <si>
    <t>PACKAGE</t>
  </si>
  <si>
    <t>O.S.</t>
  </si>
  <si>
    <t>TRIM</t>
  </si>
  <si>
    <t>color</t>
  </si>
  <si>
    <t>model</t>
  </si>
  <si>
    <t>M-MODEL</t>
  </si>
  <si>
    <t>salesorder</t>
  </si>
  <si>
    <t>Total number of orders in report:8</t>
  </si>
  <si>
    <t>Total number of orders searched:8</t>
  </si>
  <si>
    <t>Report generation started at:26 Dec 22 14:33:25</t>
  </si>
  <si>
    <t>Report generation completed at:26 Dec 22 14:33:25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</si>
</sst>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1"/>
  <sheetViews>
    <sheetView tabSelected="1" workbookViewId="0"/>
  </sheetViews>
  <sheetFormatPr defaultRowHeight="14.25" x14ac:dyDescent="0.2"/>
  <sheetData>
    <row r="1" spans="1:15" x14ac:dyDescent="0.2">
      <c r="F1" t="s">
        <v>0</v>
      </c>
    </row>
    <row r="2" spans="1:15" x14ac:dyDescent="0.2">
      <c r="A2" t="s">
        <v>1</v>
      </c>
    </row>
    <row r="5" spans="1:15" x14ac:dyDescent="0.2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</row>
    <row r="6" spans="1:15" x14ac:dyDescent="0.2">
      <c r="A6" t="str">
        <f>"1"</f>
        <v>1</v>
      </c>
      <c r="B6" t="str">
        <f>"1SS3012503 "</f>
        <v xml:space="preserve">1SS3012503 </v>
      </c>
      <c r="C6" t="str">
        <f>"05"</f>
        <v>05</v>
      </c>
      <c r="D6" t="str">
        <f>"221226"</f>
        <v>221226</v>
      </c>
      <c r="E6" t="str">
        <f>"231706497"</f>
        <v>231706497</v>
      </c>
      <c r="F6" t="str">
        <f>"LSGZV8355PD083608"</f>
        <v>LSGZV8355PD083608</v>
      </c>
      <c r="G6" t="str">
        <f>"9Q06    "</f>
        <v xml:space="preserve">9Q06    </v>
      </c>
      <c r="H6" t="str">
        <f>"OS1     "</f>
        <v xml:space="preserve">OS1     </v>
      </c>
      <c r="I6" t="str">
        <f>"2       "</f>
        <v xml:space="preserve">2       </v>
      </c>
      <c r="J6" t="str">
        <f>" GGH"</f>
        <v xml:space="preserve"> GGH</v>
      </c>
      <c r="K6" t="str">
        <f>" 6ZV26"</f>
        <v xml:space="preserve"> 6ZV26</v>
      </c>
      <c r="L6" t="str">
        <f>"1.5T F  "</f>
        <v xml:space="preserve">1.5T F  </v>
      </c>
      <c r="M6" t="str">
        <f>"1099098168          "</f>
        <v xml:space="preserve">1099098168          </v>
      </c>
    </row>
    <row r="7" spans="1:15" x14ac:dyDescent="0.2">
      <c r="A7" t="str">
        <f>"0ST"</f>
        <v>0ST</v>
      </c>
      <c r="B7" t="str">
        <f>"1MP"</f>
        <v>1MP</v>
      </c>
      <c r="C7" t="str">
        <f>"1NF"</f>
        <v>1NF</v>
      </c>
      <c r="D7" t="str">
        <f>"1SK"</f>
        <v>1SK</v>
      </c>
      <c r="E7" t="str">
        <f>"2NF"</f>
        <v>2NF</v>
      </c>
      <c r="F7" t="str">
        <f>"2ST"</f>
        <v>2ST</v>
      </c>
      <c r="G7" t="str">
        <f>"3ST"</f>
        <v>3ST</v>
      </c>
      <c r="H7" t="str">
        <f>"4NS"</f>
        <v>4NS</v>
      </c>
      <c r="I7" t="str">
        <f>"4ST"</f>
        <v>4ST</v>
      </c>
      <c r="J7" t="str">
        <f>"5A7"</f>
        <v>5A7</v>
      </c>
      <c r="K7" t="str">
        <f>"5FC"</f>
        <v>5FC</v>
      </c>
      <c r="L7" t="str">
        <f>"5ST"</f>
        <v>5ST</v>
      </c>
      <c r="M7" t="str">
        <f>"6X1"</f>
        <v>6X1</v>
      </c>
      <c r="N7" t="str">
        <f>"7X1"</f>
        <v>7X1</v>
      </c>
      <c r="O7" t="str">
        <f>"8X2"</f>
        <v>8X2</v>
      </c>
    </row>
    <row r="8" spans="1:15" x14ac:dyDescent="0.2">
      <c r="A8" t="str">
        <f>"9L3"</f>
        <v>9L3</v>
      </c>
      <c r="B8" t="str">
        <f>"9X2"</f>
        <v>9X2</v>
      </c>
      <c r="C8" t="str">
        <f>"A2X"</f>
        <v>A2X</v>
      </c>
      <c r="D8" t="str">
        <f>"A45"</f>
        <v>A45</v>
      </c>
      <c r="E8" t="str">
        <f>"A51"</f>
        <v>A51</v>
      </c>
      <c r="F8" t="str">
        <f>"A7K"</f>
        <v>A7K</v>
      </c>
      <c r="G8" t="str">
        <f>"AEF"</f>
        <v>AEF</v>
      </c>
      <c r="H8" t="str">
        <f>"AER"</f>
        <v>AER</v>
      </c>
      <c r="I8" t="str">
        <f>"AJC"</f>
        <v>AJC</v>
      </c>
      <c r="J8" t="str">
        <f>"AKO"</f>
        <v>AKO</v>
      </c>
      <c r="K8" t="str">
        <f>"AMG"</f>
        <v>AMG</v>
      </c>
      <c r="L8" t="str">
        <f>"ASV"</f>
        <v>ASV</v>
      </c>
      <c r="M8" t="str">
        <f>"ATH"</f>
        <v>ATH</v>
      </c>
      <c r="N8" t="str">
        <f>"AVK"</f>
        <v>AVK</v>
      </c>
      <c r="O8" t="str">
        <f>"AVU"</f>
        <v>AVU</v>
      </c>
    </row>
    <row r="9" spans="1:15" x14ac:dyDescent="0.2">
      <c r="A9" t="str">
        <f>"AXG"</f>
        <v>AXG</v>
      </c>
      <c r="B9" t="str">
        <f>"AXP"</f>
        <v>AXP</v>
      </c>
      <c r="C9" t="str">
        <f>"AYC"</f>
        <v>AYC</v>
      </c>
      <c r="D9" t="str">
        <f>"B3T"</f>
        <v>B3T</v>
      </c>
      <c r="E9" t="str">
        <f>"B56"</f>
        <v>B56</v>
      </c>
      <c r="F9" t="str">
        <f>"B6K"</f>
        <v>B6K</v>
      </c>
      <c r="G9" t="str">
        <f>"B71"</f>
        <v>B71</v>
      </c>
      <c r="H9" t="str">
        <f>"B86"</f>
        <v>B86</v>
      </c>
      <c r="I9" t="str">
        <f>"BB4"</f>
        <v>BB4</v>
      </c>
      <c r="J9" t="str">
        <f>"BGY"</f>
        <v>BGY</v>
      </c>
      <c r="K9" t="str">
        <f>"BTM"</f>
        <v>BTM</v>
      </c>
      <c r="L9" t="str">
        <f>"BTV"</f>
        <v>BTV</v>
      </c>
      <c r="M9" t="str">
        <f>"C25"</f>
        <v>C25</v>
      </c>
      <c r="N9" t="str">
        <f>"C59"</f>
        <v>C59</v>
      </c>
      <c r="O9" t="str">
        <f>"CAJ"</f>
        <v>CAJ</v>
      </c>
    </row>
    <row r="10" spans="1:15" x14ac:dyDescent="0.2">
      <c r="A10" t="str">
        <f>"CE1"</f>
        <v>CE1</v>
      </c>
      <c r="B10" t="str">
        <f>"CJ2"</f>
        <v>CJ2</v>
      </c>
      <c r="C10" t="str">
        <f>"CTS"</f>
        <v>CTS</v>
      </c>
      <c r="D10" t="str">
        <f>"CZ2"</f>
        <v>CZ2</v>
      </c>
      <c r="E10" t="str">
        <f>"D7A"</f>
        <v>D7A</v>
      </c>
      <c r="F10" t="str">
        <f>"DA5"</f>
        <v>DA5</v>
      </c>
      <c r="G10" t="str">
        <f>"DCP"</f>
        <v>DCP</v>
      </c>
      <c r="H10" t="str">
        <f>"DD8"</f>
        <v>DD8</v>
      </c>
      <c r="I10" t="str">
        <f>"DP6"</f>
        <v>DP6</v>
      </c>
      <c r="J10" t="str">
        <f>"DW6"</f>
        <v>DW6</v>
      </c>
      <c r="K10" t="str">
        <f>"EKF"</f>
        <v>EKF</v>
      </c>
      <c r="L10" t="str">
        <f>"ENL"</f>
        <v>ENL</v>
      </c>
      <c r="M10" t="str">
        <f>"EPH"</f>
        <v>EPH</v>
      </c>
      <c r="N10" t="str">
        <f>"FHB"</f>
        <v>FHB</v>
      </c>
      <c r="O10" t="str">
        <f>"FHO"</f>
        <v>FHO</v>
      </c>
    </row>
    <row r="11" spans="1:15" x14ac:dyDescent="0.2">
      <c r="A11" t="str">
        <f>"FWD"</f>
        <v>FWD</v>
      </c>
      <c r="B11" t="str">
        <f>"GGH"</f>
        <v>GGH</v>
      </c>
      <c r="C11" t="str">
        <f>"GNA"</f>
        <v>GNA</v>
      </c>
      <c r="D11" t="str">
        <f>"GNQ"</f>
        <v>GNQ</v>
      </c>
      <c r="E11" t="str">
        <f>"HD7"</f>
        <v>HD7</v>
      </c>
      <c r="F11" t="str">
        <f>"HQ3"</f>
        <v>HQ3</v>
      </c>
      <c r="G11" t="str">
        <f>"IKR"</f>
        <v>IKR</v>
      </c>
      <c r="H11" t="str">
        <f>"IVD"</f>
        <v>IVD</v>
      </c>
      <c r="I11" t="str">
        <f>"J17"</f>
        <v>J17</v>
      </c>
      <c r="J11" t="str">
        <f>"J23"</f>
        <v>J23</v>
      </c>
      <c r="K11" t="str">
        <f>"J71"</f>
        <v>J71</v>
      </c>
      <c r="L11" t="str">
        <f>"JE0"</f>
        <v>JE0</v>
      </c>
      <c r="M11" t="str">
        <f>"JJ2"</f>
        <v>JJ2</v>
      </c>
      <c r="N11" t="str">
        <f>"JLA"</f>
        <v>JLA</v>
      </c>
      <c r="O11" t="str">
        <f>"JM8"</f>
        <v>JM8</v>
      </c>
    </row>
    <row r="12" spans="1:15" x14ac:dyDescent="0.2">
      <c r="A12" t="str">
        <f>"K1O"</f>
        <v>K1O</v>
      </c>
      <c r="B12" t="str">
        <f>"K6L"</f>
        <v>K6L</v>
      </c>
      <c r="C12" t="str">
        <f>"KA1"</f>
        <v>KA1</v>
      </c>
      <c r="D12" t="str">
        <f>"KBC"</f>
        <v>KBC</v>
      </c>
      <c r="E12" t="str">
        <f>"KI3"</f>
        <v>KI3</v>
      </c>
      <c r="F12" t="str">
        <f>"KL9"</f>
        <v>KL9</v>
      </c>
      <c r="G12" t="str">
        <f>"KSG"</f>
        <v>KSG</v>
      </c>
      <c r="H12" t="str">
        <f>"KU9"</f>
        <v>KU9</v>
      </c>
      <c r="I12" t="str">
        <f>"LAH"</f>
        <v>LAH</v>
      </c>
      <c r="J12" t="str">
        <f>"LHD"</f>
        <v>LHD</v>
      </c>
      <c r="K12" t="str">
        <f>"M3H"</f>
        <v>M3H</v>
      </c>
      <c r="L12" t="str">
        <f>"MAO"</f>
        <v>MAO</v>
      </c>
      <c r="M12" t="str">
        <f>"MDE"</f>
        <v>MDE</v>
      </c>
      <c r="N12" t="str">
        <f>"MM1"</f>
        <v>MM1</v>
      </c>
      <c r="O12" t="str">
        <f>"N08"</f>
        <v>N08</v>
      </c>
    </row>
    <row r="13" spans="1:15" x14ac:dyDescent="0.2">
      <c r="A13" t="str">
        <f>"N2D"</f>
        <v>N2D</v>
      </c>
      <c r="B13" t="str">
        <f>"N37"</f>
        <v>N37</v>
      </c>
      <c r="C13" t="str">
        <f>"N5L"</f>
        <v>N5L</v>
      </c>
      <c r="D13" t="str">
        <f>"NAM"</f>
        <v>NAM</v>
      </c>
      <c r="E13" t="str">
        <f>"ND8"</f>
        <v>ND8</v>
      </c>
      <c r="F13" t="str">
        <f>"NFD"</f>
        <v>NFD</v>
      </c>
      <c r="G13" t="str">
        <f>"NKC"</f>
        <v>NKC</v>
      </c>
      <c r="H13" t="str">
        <f>"NKD"</f>
        <v>NKD</v>
      </c>
      <c r="I13" t="str">
        <f>"PAP"</f>
        <v>PAP</v>
      </c>
      <c r="J13" t="str">
        <f>"PPW"</f>
        <v>PPW</v>
      </c>
      <c r="K13" t="str">
        <f>"PS4"</f>
        <v>PS4</v>
      </c>
      <c r="L13" t="str">
        <f>"Q2T"</f>
        <v>Q2T</v>
      </c>
      <c r="M13" t="str">
        <f>"Q6M"</f>
        <v>Q6M</v>
      </c>
      <c r="N13" t="str">
        <f>"RSR"</f>
        <v>RSR</v>
      </c>
      <c r="O13" t="str">
        <f>"T4L"</f>
        <v>T4L</v>
      </c>
    </row>
    <row r="14" spans="1:15" x14ac:dyDescent="0.2">
      <c r="A14" t="str">
        <f>"T79"</f>
        <v>T79</v>
      </c>
      <c r="B14" t="str">
        <f>"T7E"</f>
        <v>T7E</v>
      </c>
      <c r="C14" t="str">
        <f>"T87"</f>
        <v>T87</v>
      </c>
      <c r="D14" t="str">
        <f>"TB5"</f>
        <v>TB5</v>
      </c>
      <c r="E14" t="str">
        <f>"TB8"</f>
        <v>TB8</v>
      </c>
      <c r="F14" t="str">
        <f>"TD1"</f>
        <v>TD1</v>
      </c>
      <c r="G14" t="str">
        <f>"TDC"</f>
        <v>TDC</v>
      </c>
      <c r="H14" t="str">
        <f>"TFK"</f>
        <v>TFK</v>
      </c>
      <c r="I14" t="str">
        <f>"TQ5"</f>
        <v>TQ5</v>
      </c>
      <c r="J14" t="str">
        <f>"TR6"</f>
        <v>TR6</v>
      </c>
      <c r="K14" t="str">
        <f>"TSQ"</f>
        <v>TSQ</v>
      </c>
      <c r="L14" t="str">
        <f>"TTW"</f>
        <v>TTW</v>
      </c>
      <c r="M14" t="str">
        <f>"U18"</f>
        <v>U18</v>
      </c>
      <c r="N14" t="str">
        <f>"UB3"</f>
        <v>UB3</v>
      </c>
      <c r="O14" t="str">
        <f>"UBD"</f>
        <v>UBD</v>
      </c>
    </row>
    <row r="15" spans="1:15" x14ac:dyDescent="0.2">
      <c r="A15" t="str">
        <f>"UBI"</f>
        <v>UBI</v>
      </c>
      <c r="B15" t="str">
        <f>"UD7"</f>
        <v>UD7</v>
      </c>
      <c r="C15" t="str">
        <f>"UE1"</f>
        <v>UE1</v>
      </c>
      <c r="D15" t="str">
        <f>"UE4"</f>
        <v>UE4</v>
      </c>
      <c r="E15" t="str">
        <f>"UEN"</f>
        <v>UEN</v>
      </c>
      <c r="F15" t="str">
        <f>"UEU"</f>
        <v>UEU</v>
      </c>
      <c r="G15" t="str">
        <f>"UFG"</f>
        <v>UFG</v>
      </c>
      <c r="H15" t="str">
        <f>"UGE"</f>
        <v>UGE</v>
      </c>
      <c r="I15" t="str">
        <f>"UGN"</f>
        <v>UGN</v>
      </c>
      <c r="J15" t="str">
        <f>"UHG"</f>
        <v>UHG</v>
      </c>
      <c r="K15" t="str">
        <f>"UHH"</f>
        <v>UHH</v>
      </c>
      <c r="L15" t="str">
        <f>"UHO"</f>
        <v>UHO</v>
      </c>
      <c r="M15" t="str">
        <f>"UHX"</f>
        <v>UHX</v>
      </c>
      <c r="N15" t="str">
        <f>"UIT"</f>
        <v>UIT</v>
      </c>
      <c r="O15" t="str">
        <f>"UJN"</f>
        <v>UJN</v>
      </c>
    </row>
    <row r="16" spans="1:15" x14ac:dyDescent="0.2">
      <c r="A16" t="str">
        <f>"UKI"</f>
        <v>UKI</v>
      </c>
      <c r="B16" t="str">
        <f>"UKT"</f>
        <v>UKT</v>
      </c>
      <c r="C16" t="str">
        <f>"UL5"</f>
        <v>UL5</v>
      </c>
      <c r="D16" t="str">
        <f>"UQG"</f>
        <v>UQG</v>
      </c>
      <c r="E16" t="str">
        <f>"URB"</f>
        <v>URB</v>
      </c>
      <c r="F16" t="str">
        <f>"URT"</f>
        <v>URT</v>
      </c>
      <c r="G16" t="str">
        <f>"UVX"</f>
        <v>UVX</v>
      </c>
      <c r="H16" t="str">
        <f>"UXN"</f>
        <v>UXN</v>
      </c>
      <c r="I16" t="str">
        <f>"V6K"</f>
        <v>V6K</v>
      </c>
      <c r="J16" t="str">
        <f>"V76"</f>
        <v>V76</v>
      </c>
      <c r="K16" t="str">
        <f>"V86"</f>
        <v>V86</v>
      </c>
      <c r="L16" t="str">
        <f>"VA3"</f>
        <v>VA3</v>
      </c>
      <c r="M16" t="str">
        <f>"VDZ"</f>
        <v>VDZ</v>
      </c>
      <c r="N16" t="str">
        <f>"VH9"</f>
        <v>VH9</v>
      </c>
      <c r="O16" t="str">
        <f>"VLF"</f>
        <v>VLF</v>
      </c>
    </row>
    <row r="17" spans="1:15" x14ac:dyDescent="0.2">
      <c r="A17" t="str">
        <f>"VRF"</f>
        <v>VRF</v>
      </c>
      <c r="B17" t="str">
        <f>"VRG"</f>
        <v>VRG</v>
      </c>
      <c r="C17" t="str">
        <f>"VRH"</f>
        <v>VRH</v>
      </c>
      <c r="D17" t="str">
        <f>"VRJ"</f>
        <v>VRJ</v>
      </c>
      <c r="E17" t="str">
        <f>"VRK"</f>
        <v>VRK</v>
      </c>
      <c r="F17" t="str">
        <f>"VRL"</f>
        <v>VRL</v>
      </c>
      <c r="G17" t="str">
        <f>"VRM"</f>
        <v>VRM</v>
      </c>
      <c r="H17" t="str">
        <f>"VRN"</f>
        <v>VRN</v>
      </c>
      <c r="I17" t="str">
        <f>"VRR"</f>
        <v>VRR</v>
      </c>
      <c r="J17" t="str">
        <f>"VTI"</f>
        <v>VTI</v>
      </c>
      <c r="K17" t="str">
        <f>"VV4"</f>
        <v>VV4</v>
      </c>
      <c r="L17" t="str">
        <f>"WMX"</f>
        <v>WMX</v>
      </c>
      <c r="M17" t="str">
        <f>"XL8"</f>
        <v>XL8</v>
      </c>
      <c r="N17" t="str">
        <f>"Y7C"</f>
        <v>Y7C</v>
      </c>
    </row>
    <row r="18" spans="1:15" x14ac:dyDescent="0.2">
      <c r="A18" t="str">
        <f>"2"</f>
        <v>2</v>
      </c>
      <c r="B18" t="str">
        <f>"1SS3012504 "</f>
        <v xml:space="preserve">1SS3012504 </v>
      </c>
      <c r="C18" t="str">
        <f>"05"</f>
        <v>05</v>
      </c>
      <c r="D18" t="str">
        <f>"221226"</f>
        <v>221226</v>
      </c>
      <c r="E18" t="str">
        <f>"231706498"</f>
        <v>231706498</v>
      </c>
      <c r="F18" t="str">
        <f>"LSGZV8357PD083609"</f>
        <v>LSGZV8357PD083609</v>
      </c>
      <c r="G18" t="str">
        <f>"9Q29    "</f>
        <v xml:space="preserve">9Q29    </v>
      </c>
      <c r="H18" t="str">
        <f>"OS1     "</f>
        <v xml:space="preserve">OS1     </v>
      </c>
      <c r="I18" t="str">
        <f>"2       "</f>
        <v xml:space="preserve">2       </v>
      </c>
      <c r="J18" t="str">
        <f>" GGT"</f>
        <v xml:space="preserve"> GGT</v>
      </c>
      <c r="K18" t="str">
        <f>" 6ZX26"</f>
        <v xml:space="preserve"> 6ZX26</v>
      </c>
      <c r="L18" t="str">
        <f>"1.5T F  "</f>
        <v xml:space="preserve">1.5T F  </v>
      </c>
      <c r="M18" t="str">
        <f>"1099098180          "</f>
        <v xml:space="preserve">1099098180          </v>
      </c>
    </row>
    <row r="19" spans="1:15" x14ac:dyDescent="0.2">
      <c r="A19" t="str">
        <f>"0ST"</f>
        <v>0ST</v>
      </c>
      <c r="B19" t="str">
        <f>"1MP"</f>
        <v>1MP</v>
      </c>
      <c r="C19" t="str">
        <f>"1NF"</f>
        <v>1NF</v>
      </c>
      <c r="D19" t="str">
        <f>"1SL"</f>
        <v>1SL</v>
      </c>
      <c r="E19" t="str">
        <f>"2NF"</f>
        <v>2NF</v>
      </c>
      <c r="F19" t="str">
        <f>"2ST"</f>
        <v>2ST</v>
      </c>
      <c r="G19" t="str">
        <f>"3ST"</f>
        <v>3ST</v>
      </c>
      <c r="H19" t="str">
        <f>"4NR"</f>
        <v>4NR</v>
      </c>
      <c r="I19" t="str">
        <f>"4ST"</f>
        <v>4ST</v>
      </c>
      <c r="J19" t="str">
        <f>"5A7"</f>
        <v>5A7</v>
      </c>
      <c r="K19" t="str">
        <f>"5FC"</f>
        <v>5FC</v>
      </c>
      <c r="L19" t="str">
        <f>"5ST"</f>
        <v>5ST</v>
      </c>
      <c r="M19" t="str">
        <f>"6X1"</f>
        <v>6X1</v>
      </c>
      <c r="N19" t="str">
        <f>"7X1"</f>
        <v>7X1</v>
      </c>
      <c r="O19" t="str">
        <f>"8X2"</f>
        <v>8X2</v>
      </c>
    </row>
    <row r="20" spans="1:15" x14ac:dyDescent="0.2">
      <c r="A20" t="str">
        <f>"94T"</f>
        <v>94T</v>
      </c>
      <c r="B20" t="str">
        <f>"9L3"</f>
        <v>9L3</v>
      </c>
      <c r="C20" t="str">
        <f>"9X2"</f>
        <v>9X2</v>
      </c>
      <c r="D20" t="str">
        <f>"A2X"</f>
        <v>A2X</v>
      </c>
      <c r="E20" t="str">
        <f>"A45"</f>
        <v>A45</v>
      </c>
      <c r="F20" t="str">
        <f>"A51"</f>
        <v>A51</v>
      </c>
      <c r="G20" t="str">
        <f>"A7K"</f>
        <v>A7K</v>
      </c>
      <c r="H20" t="str">
        <f>"AEF"</f>
        <v>AEF</v>
      </c>
      <c r="I20" t="str">
        <f>"AER"</f>
        <v>AER</v>
      </c>
      <c r="J20" t="str">
        <f>"AJC"</f>
        <v>AJC</v>
      </c>
      <c r="K20" t="str">
        <f>"AKO"</f>
        <v>AKO</v>
      </c>
      <c r="L20" t="str">
        <f>"AMG"</f>
        <v>AMG</v>
      </c>
      <c r="M20" t="str">
        <f>"ASV"</f>
        <v>ASV</v>
      </c>
      <c r="N20" t="str">
        <f>"ATH"</f>
        <v>ATH</v>
      </c>
      <c r="O20" t="str">
        <f>"AVK"</f>
        <v>AVK</v>
      </c>
    </row>
    <row r="21" spans="1:15" x14ac:dyDescent="0.2">
      <c r="A21" t="str">
        <f>"AVU"</f>
        <v>AVU</v>
      </c>
      <c r="B21" t="str">
        <f>"AXG"</f>
        <v>AXG</v>
      </c>
      <c r="C21" t="str">
        <f>"AXP"</f>
        <v>AXP</v>
      </c>
      <c r="D21" t="str">
        <f>"AYC"</f>
        <v>AYC</v>
      </c>
      <c r="E21" t="str">
        <f>"B3T"</f>
        <v>B3T</v>
      </c>
      <c r="F21" t="str">
        <f>"B56"</f>
        <v>B56</v>
      </c>
      <c r="G21" t="str">
        <f>"B71"</f>
        <v>B71</v>
      </c>
      <c r="H21" t="str">
        <f>"B72"</f>
        <v>B72</v>
      </c>
      <c r="I21" t="str">
        <f>"B86"</f>
        <v>B86</v>
      </c>
      <c r="J21" t="str">
        <f>"BB4"</f>
        <v>BB4</v>
      </c>
      <c r="K21" t="str">
        <f>"BGY"</f>
        <v>BGY</v>
      </c>
      <c r="L21" t="str">
        <f>"BTM"</f>
        <v>BTM</v>
      </c>
      <c r="M21" t="str">
        <f>"BTV"</f>
        <v>BTV</v>
      </c>
      <c r="N21" t="str">
        <f>"C25"</f>
        <v>C25</v>
      </c>
      <c r="O21" t="str">
        <f>"C59"</f>
        <v>C59</v>
      </c>
    </row>
    <row r="22" spans="1:15" x14ac:dyDescent="0.2">
      <c r="A22" t="str">
        <f>"C73"</f>
        <v>C73</v>
      </c>
      <c r="B22" t="str">
        <f>"CAJ"</f>
        <v>CAJ</v>
      </c>
      <c r="C22" t="str">
        <f>"CE1"</f>
        <v>CE1</v>
      </c>
      <c r="D22" t="str">
        <f>"CJ2"</f>
        <v>CJ2</v>
      </c>
      <c r="E22" t="str">
        <f>"CTS"</f>
        <v>CTS</v>
      </c>
      <c r="F22" t="str">
        <f>"CWH"</f>
        <v>CWH</v>
      </c>
      <c r="G22" t="str">
        <f>"CZ2"</f>
        <v>CZ2</v>
      </c>
      <c r="H22" t="str">
        <f>"D75"</f>
        <v>D75</v>
      </c>
      <c r="I22" t="str">
        <f>"DA5"</f>
        <v>DA5</v>
      </c>
      <c r="J22" t="str">
        <f>"DCP"</f>
        <v>DCP</v>
      </c>
      <c r="K22" t="str">
        <f>"DD8"</f>
        <v>DD8</v>
      </c>
      <c r="L22" t="str">
        <f>"DW6"</f>
        <v>DW6</v>
      </c>
      <c r="M22" t="str">
        <f>"EKH"</f>
        <v>EKH</v>
      </c>
      <c r="N22" t="str">
        <f>"ENL"</f>
        <v>ENL</v>
      </c>
      <c r="O22" t="str">
        <f>"EPH"</f>
        <v>EPH</v>
      </c>
    </row>
    <row r="23" spans="1:15" x14ac:dyDescent="0.2">
      <c r="A23" t="str">
        <f>"EWE"</f>
        <v>EWE</v>
      </c>
      <c r="B23" t="str">
        <f>"FHB"</f>
        <v>FHB</v>
      </c>
      <c r="C23" t="str">
        <f>"FHO"</f>
        <v>FHO</v>
      </c>
      <c r="D23" t="str">
        <f>"FWD"</f>
        <v>FWD</v>
      </c>
      <c r="E23" t="str">
        <f>"GGT"</f>
        <v>GGT</v>
      </c>
      <c r="F23" t="str">
        <f>"GNA"</f>
        <v>GNA</v>
      </c>
      <c r="G23" t="str">
        <f>"GNQ"</f>
        <v>GNQ</v>
      </c>
      <c r="H23" t="str">
        <f>"HD7"</f>
        <v>HD7</v>
      </c>
      <c r="I23" t="str">
        <f>"HQ3"</f>
        <v>HQ3</v>
      </c>
      <c r="J23" t="str">
        <f>"IKR"</f>
        <v>IKR</v>
      </c>
      <c r="K23" t="str">
        <f>"IVD"</f>
        <v>IVD</v>
      </c>
      <c r="L23" t="str">
        <f>"J17"</f>
        <v>J17</v>
      </c>
      <c r="M23" t="str">
        <f>"J23"</f>
        <v>J23</v>
      </c>
      <c r="N23" t="str">
        <f>"J71"</f>
        <v>J71</v>
      </c>
      <c r="O23" t="str">
        <f>"JE0"</f>
        <v>JE0</v>
      </c>
    </row>
    <row r="24" spans="1:15" x14ac:dyDescent="0.2">
      <c r="A24" t="str">
        <f>"JF5"</f>
        <v>JF5</v>
      </c>
      <c r="B24" t="str">
        <f>"JJ2"</f>
        <v>JJ2</v>
      </c>
      <c r="C24" t="str">
        <f>"JLA"</f>
        <v>JLA</v>
      </c>
      <c r="D24" t="str">
        <f>"JM8"</f>
        <v>JM8</v>
      </c>
      <c r="E24" t="str">
        <f>"K1O"</f>
        <v>K1O</v>
      </c>
      <c r="F24" t="str">
        <f>"K6L"</f>
        <v>K6L</v>
      </c>
      <c r="G24" t="str">
        <f>"KA1"</f>
        <v>KA1</v>
      </c>
      <c r="H24" t="str">
        <f>"KBC"</f>
        <v>KBC</v>
      </c>
      <c r="I24" t="str">
        <f>"KI3"</f>
        <v>KI3</v>
      </c>
      <c r="J24" t="str">
        <f>"KL9"</f>
        <v>KL9</v>
      </c>
      <c r="K24" t="str">
        <f>"KSG"</f>
        <v>KSG</v>
      </c>
      <c r="L24" t="str">
        <f>"KU9"</f>
        <v>KU9</v>
      </c>
      <c r="M24" t="str">
        <f>"LAH"</f>
        <v>LAH</v>
      </c>
      <c r="N24" t="str">
        <f>"LHD"</f>
        <v>LHD</v>
      </c>
      <c r="O24" t="str">
        <f>"M3H"</f>
        <v>M3H</v>
      </c>
    </row>
    <row r="25" spans="1:15" x14ac:dyDescent="0.2">
      <c r="A25" t="str">
        <f>"MAO"</f>
        <v>MAO</v>
      </c>
      <c r="B25" t="str">
        <f>"MFI"</f>
        <v>MFI</v>
      </c>
      <c r="C25" t="str">
        <f>"MM1"</f>
        <v>MM1</v>
      </c>
      <c r="D25" t="str">
        <f>"N08"</f>
        <v>N08</v>
      </c>
      <c r="E25" t="str">
        <f>"N2D"</f>
        <v>N2D</v>
      </c>
      <c r="F25" t="str">
        <f>"N37"</f>
        <v>N37</v>
      </c>
      <c r="G25" t="str">
        <f>"N5L"</f>
        <v>N5L</v>
      </c>
      <c r="H25" t="str">
        <f>"NAM"</f>
        <v>NAM</v>
      </c>
      <c r="I25" t="str">
        <f>"ND8"</f>
        <v>ND8</v>
      </c>
      <c r="J25" t="str">
        <f>"NFD"</f>
        <v>NFD</v>
      </c>
      <c r="K25" t="str">
        <f>"NKC"</f>
        <v>NKC</v>
      </c>
      <c r="L25" t="str">
        <f>"NKD"</f>
        <v>NKD</v>
      </c>
      <c r="M25" t="str">
        <f>"PAP"</f>
        <v>PAP</v>
      </c>
      <c r="N25" t="str">
        <f>"PPW"</f>
        <v>PPW</v>
      </c>
      <c r="O25" t="str">
        <f>"PS4"</f>
        <v>PS4</v>
      </c>
    </row>
    <row r="26" spans="1:15" x14ac:dyDescent="0.2">
      <c r="A26" t="str">
        <f>"PXX"</f>
        <v>PXX</v>
      </c>
      <c r="B26" t="str">
        <f>"Q2T"</f>
        <v>Q2T</v>
      </c>
      <c r="C26" t="str">
        <f>"RSR"</f>
        <v>RSR</v>
      </c>
      <c r="D26" t="str">
        <f>"T4L"</f>
        <v>T4L</v>
      </c>
      <c r="E26" t="str">
        <f>"T79"</f>
        <v>T79</v>
      </c>
      <c r="F26" t="str">
        <f>"T7E"</f>
        <v>T7E</v>
      </c>
      <c r="G26" t="str">
        <f>"T87"</f>
        <v>T87</v>
      </c>
      <c r="H26" t="str">
        <f>"TB5"</f>
        <v>TB5</v>
      </c>
      <c r="I26" t="str">
        <f>"TB8"</f>
        <v>TB8</v>
      </c>
      <c r="J26" t="str">
        <f>"TD1"</f>
        <v>TD1</v>
      </c>
      <c r="K26" t="str">
        <f>"TDC"</f>
        <v>TDC</v>
      </c>
      <c r="L26" t="str">
        <f>"TFK"</f>
        <v>TFK</v>
      </c>
      <c r="M26" t="str">
        <f>"TQ5"</f>
        <v>TQ5</v>
      </c>
      <c r="N26" t="str">
        <f>"TR6"</f>
        <v>TR6</v>
      </c>
      <c r="O26" t="str">
        <f>"TSQ"</f>
        <v>TSQ</v>
      </c>
    </row>
    <row r="27" spans="1:15" x14ac:dyDescent="0.2">
      <c r="A27" t="str">
        <f>"TTW"</f>
        <v>TTW</v>
      </c>
      <c r="B27" t="str">
        <f>"U18"</f>
        <v>U18</v>
      </c>
      <c r="C27" t="str">
        <f>"UB3"</f>
        <v>UB3</v>
      </c>
      <c r="D27" t="str">
        <f>"UBD"</f>
        <v>UBD</v>
      </c>
      <c r="E27" t="str">
        <f>"UBI"</f>
        <v>UBI</v>
      </c>
      <c r="F27" t="str">
        <f>"UD7"</f>
        <v>UD7</v>
      </c>
      <c r="G27" t="str">
        <f>"UE1"</f>
        <v>UE1</v>
      </c>
      <c r="H27" t="str">
        <f>"UE4"</f>
        <v>UE4</v>
      </c>
      <c r="I27" t="str">
        <f>"UEN"</f>
        <v>UEN</v>
      </c>
      <c r="J27" t="str">
        <f>"UEU"</f>
        <v>UEU</v>
      </c>
      <c r="K27" t="str">
        <f>"UFG"</f>
        <v>UFG</v>
      </c>
      <c r="L27" t="str">
        <f>"UGE"</f>
        <v>UGE</v>
      </c>
      <c r="M27" t="str">
        <f>"UGN"</f>
        <v>UGN</v>
      </c>
      <c r="N27" t="str">
        <f>"UHG"</f>
        <v>UHG</v>
      </c>
      <c r="O27" t="str">
        <f>"UHH"</f>
        <v>UHH</v>
      </c>
    </row>
    <row r="28" spans="1:15" x14ac:dyDescent="0.2">
      <c r="A28" t="str">
        <f>"UHO"</f>
        <v>UHO</v>
      </c>
      <c r="B28" t="str">
        <f>"UHX"</f>
        <v>UHX</v>
      </c>
      <c r="C28" t="str">
        <f>"UIT"</f>
        <v>UIT</v>
      </c>
      <c r="D28" t="str">
        <f>"UJN"</f>
        <v>UJN</v>
      </c>
      <c r="E28" t="str">
        <f>"UKI"</f>
        <v>UKI</v>
      </c>
      <c r="F28" t="str">
        <f>"UKT"</f>
        <v>UKT</v>
      </c>
      <c r="G28" t="str">
        <f>"UL5"</f>
        <v>UL5</v>
      </c>
      <c r="H28" t="str">
        <f>"UQG"</f>
        <v>UQG</v>
      </c>
      <c r="I28" t="str">
        <f>"URB"</f>
        <v>URB</v>
      </c>
      <c r="J28" t="str">
        <f>"URT"</f>
        <v>URT</v>
      </c>
      <c r="K28" t="str">
        <f>"UVX"</f>
        <v>UVX</v>
      </c>
      <c r="L28" t="str">
        <f>"UXN"</f>
        <v>UXN</v>
      </c>
      <c r="M28" t="str">
        <f>"V5H"</f>
        <v>V5H</v>
      </c>
      <c r="N28" t="str">
        <f>"V76"</f>
        <v>V76</v>
      </c>
      <c r="O28" t="str">
        <f>"V86"</f>
        <v>V86</v>
      </c>
    </row>
    <row r="29" spans="1:15" x14ac:dyDescent="0.2">
      <c r="A29" t="str">
        <f>"VA3"</f>
        <v>VA3</v>
      </c>
      <c r="B29" t="str">
        <f>"VDZ"</f>
        <v>VDZ</v>
      </c>
      <c r="C29" t="str">
        <f>"VH9"</f>
        <v>VH9</v>
      </c>
      <c r="D29" t="str">
        <f>"VLF"</f>
        <v>VLF</v>
      </c>
      <c r="E29" t="str">
        <f>"VRF"</f>
        <v>VRF</v>
      </c>
      <c r="F29" t="str">
        <f>"VRG"</f>
        <v>VRG</v>
      </c>
      <c r="G29" t="str">
        <f>"VRH"</f>
        <v>VRH</v>
      </c>
      <c r="H29" t="str">
        <f>"VRJ"</f>
        <v>VRJ</v>
      </c>
      <c r="I29" t="str">
        <f>"VRK"</f>
        <v>VRK</v>
      </c>
      <c r="J29" t="str">
        <f>"VRL"</f>
        <v>VRL</v>
      </c>
      <c r="K29" t="str">
        <f>"VRM"</f>
        <v>VRM</v>
      </c>
      <c r="L29" t="str">
        <f>"VRN"</f>
        <v>VRN</v>
      </c>
      <c r="M29" t="str">
        <f>"VRR"</f>
        <v>VRR</v>
      </c>
      <c r="N29" t="str">
        <f>"VTI"</f>
        <v>VTI</v>
      </c>
      <c r="O29" t="str">
        <f>"VV4"</f>
        <v>VV4</v>
      </c>
    </row>
    <row r="30" spans="1:15" x14ac:dyDescent="0.2">
      <c r="A30" t="str">
        <f>"WMX"</f>
        <v>WMX</v>
      </c>
      <c r="B30" t="str">
        <f>"XL8"</f>
        <v>XL8</v>
      </c>
      <c r="C30" t="str">
        <f>"Y7C"</f>
        <v>Y7C</v>
      </c>
    </row>
    <row r="31" spans="1:15" x14ac:dyDescent="0.2">
      <c r="A31" t="str">
        <f>"3"</f>
        <v>3</v>
      </c>
      <c r="B31" t="str">
        <f>"1SS3012505 "</f>
        <v xml:space="preserve">1SS3012505 </v>
      </c>
      <c r="C31" t="str">
        <f>"05"</f>
        <v>05</v>
      </c>
      <c r="D31" t="str">
        <f>"221226"</f>
        <v>221226</v>
      </c>
      <c r="E31" t="str">
        <f>"231706499"</f>
        <v>231706499</v>
      </c>
      <c r="F31" t="str">
        <f>"LSGZV8353PD083610"</f>
        <v>LSGZV8353PD083610</v>
      </c>
      <c r="G31" t="str">
        <f>"9Q46    "</f>
        <v xml:space="preserve">9Q46    </v>
      </c>
      <c r="H31" t="str">
        <f>"OS1     "</f>
        <v xml:space="preserve">OS1     </v>
      </c>
      <c r="I31" t="str">
        <f>"2       "</f>
        <v xml:space="preserve">2       </v>
      </c>
      <c r="J31" t="str">
        <f>" G4S"</f>
        <v xml:space="preserve"> G4S</v>
      </c>
      <c r="K31" t="str">
        <f>" 6ZV26"</f>
        <v xml:space="preserve"> 6ZV26</v>
      </c>
      <c r="L31" t="str">
        <f>"1.5T F  "</f>
        <v xml:space="preserve">1.5T F  </v>
      </c>
      <c r="M31" t="str">
        <f>"1099098179          "</f>
        <v xml:space="preserve">1099098179          </v>
      </c>
    </row>
    <row r="32" spans="1:15" x14ac:dyDescent="0.2">
      <c r="A32" t="str">
        <f>"0ST"</f>
        <v>0ST</v>
      </c>
      <c r="B32" t="str">
        <f>"1MP"</f>
        <v>1MP</v>
      </c>
      <c r="C32" t="str">
        <f>"1NF"</f>
        <v>1NF</v>
      </c>
      <c r="D32" t="str">
        <f>"1SK"</f>
        <v>1SK</v>
      </c>
      <c r="E32" t="str">
        <f>"2NF"</f>
        <v>2NF</v>
      </c>
      <c r="F32" t="str">
        <f>"2ST"</f>
        <v>2ST</v>
      </c>
      <c r="G32" t="str">
        <f>"3ST"</f>
        <v>3ST</v>
      </c>
      <c r="H32" t="str">
        <f>"4NS"</f>
        <v>4NS</v>
      </c>
      <c r="I32" t="str">
        <f>"4ST"</f>
        <v>4ST</v>
      </c>
      <c r="J32" t="str">
        <f>"5A7"</f>
        <v>5A7</v>
      </c>
      <c r="K32" t="str">
        <f>"5FC"</f>
        <v>5FC</v>
      </c>
      <c r="L32" t="str">
        <f>"5ST"</f>
        <v>5ST</v>
      </c>
      <c r="M32" t="str">
        <f>"6X1"</f>
        <v>6X1</v>
      </c>
      <c r="N32" t="str">
        <f>"7X1"</f>
        <v>7X1</v>
      </c>
      <c r="O32" t="str">
        <f>"8X2"</f>
        <v>8X2</v>
      </c>
    </row>
    <row r="33" spans="1:15" x14ac:dyDescent="0.2">
      <c r="A33" t="str">
        <f>"9L3"</f>
        <v>9L3</v>
      </c>
      <c r="B33" t="str">
        <f>"9X2"</f>
        <v>9X2</v>
      </c>
      <c r="C33" t="str">
        <f>"A2X"</f>
        <v>A2X</v>
      </c>
      <c r="D33" t="str">
        <f>"A45"</f>
        <v>A45</v>
      </c>
      <c r="E33" t="str">
        <f>"A51"</f>
        <v>A51</v>
      </c>
      <c r="F33" t="str">
        <f>"A7K"</f>
        <v>A7K</v>
      </c>
      <c r="G33" t="str">
        <f>"AEF"</f>
        <v>AEF</v>
      </c>
      <c r="H33" t="str">
        <f>"AER"</f>
        <v>AER</v>
      </c>
      <c r="I33" t="str">
        <f>"AJC"</f>
        <v>AJC</v>
      </c>
      <c r="J33" t="str">
        <f>"AKO"</f>
        <v>AKO</v>
      </c>
      <c r="K33" t="str">
        <f>"AMG"</f>
        <v>AMG</v>
      </c>
      <c r="L33" t="str">
        <f>"ASV"</f>
        <v>ASV</v>
      </c>
      <c r="M33" t="str">
        <f>"ATH"</f>
        <v>ATH</v>
      </c>
      <c r="N33" t="str">
        <f>"AVK"</f>
        <v>AVK</v>
      </c>
      <c r="O33" t="str">
        <f>"AVU"</f>
        <v>AVU</v>
      </c>
    </row>
    <row r="34" spans="1:15" x14ac:dyDescent="0.2">
      <c r="A34" t="str">
        <f>"AXG"</f>
        <v>AXG</v>
      </c>
      <c r="B34" t="str">
        <f>"AXP"</f>
        <v>AXP</v>
      </c>
      <c r="C34" t="str">
        <f>"AYC"</f>
        <v>AYC</v>
      </c>
      <c r="D34" t="str">
        <f>"B3T"</f>
        <v>B3T</v>
      </c>
      <c r="E34" t="str">
        <f>"B56"</f>
        <v>B56</v>
      </c>
      <c r="F34" t="str">
        <f>"B6K"</f>
        <v>B6K</v>
      </c>
      <c r="G34" t="str">
        <f>"B71"</f>
        <v>B71</v>
      </c>
      <c r="H34" t="str">
        <f>"B86"</f>
        <v>B86</v>
      </c>
      <c r="I34" t="str">
        <f>"BB4"</f>
        <v>BB4</v>
      </c>
      <c r="J34" t="str">
        <f>"BGY"</f>
        <v>BGY</v>
      </c>
      <c r="K34" t="str">
        <f>"BTM"</f>
        <v>BTM</v>
      </c>
      <c r="L34" t="str">
        <f>"BTV"</f>
        <v>BTV</v>
      </c>
      <c r="M34" t="str">
        <f>"C25"</f>
        <v>C25</v>
      </c>
      <c r="N34" t="str">
        <f>"C59"</f>
        <v>C59</v>
      </c>
      <c r="O34" t="str">
        <f>"CAJ"</f>
        <v>CAJ</v>
      </c>
    </row>
    <row r="35" spans="1:15" x14ac:dyDescent="0.2">
      <c r="A35" t="str">
        <f>"CE1"</f>
        <v>CE1</v>
      </c>
      <c r="B35" t="str">
        <f>"CJ2"</f>
        <v>CJ2</v>
      </c>
      <c r="C35" t="str">
        <f>"CTS"</f>
        <v>CTS</v>
      </c>
      <c r="D35" t="str">
        <f>"CWA"</f>
        <v>CWA</v>
      </c>
      <c r="E35" t="str">
        <f>"CZ2"</f>
        <v>CZ2</v>
      </c>
      <c r="F35" t="str">
        <f>"D7A"</f>
        <v>D7A</v>
      </c>
      <c r="G35" t="str">
        <f>"DA5"</f>
        <v>DA5</v>
      </c>
      <c r="H35" t="str">
        <f>"DCP"</f>
        <v>DCP</v>
      </c>
      <c r="I35" t="str">
        <f>"DP6"</f>
        <v>DP6</v>
      </c>
      <c r="J35" t="str">
        <f>"DRZ"</f>
        <v>DRZ</v>
      </c>
      <c r="K35" t="str">
        <f>"DW6"</f>
        <v>DW6</v>
      </c>
      <c r="L35" t="str">
        <f>"EKF"</f>
        <v>EKF</v>
      </c>
      <c r="M35" t="str">
        <f>"ENL"</f>
        <v>ENL</v>
      </c>
      <c r="N35" t="str">
        <f>"EPH"</f>
        <v>EPH</v>
      </c>
      <c r="O35" t="str">
        <f>"FHB"</f>
        <v>FHB</v>
      </c>
    </row>
    <row r="36" spans="1:15" x14ac:dyDescent="0.2">
      <c r="A36" t="str">
        <f>"FHO"</f>
        <v>FHO</v>
      </c>
      <c r="B36" t="str">
        <f>"FWD"</f>
        <v>FWD</v>
      </c>
      <c r="C36" t="str">
        <f>"G4S"</f>
        <v>G4S</v>
      </c>
      <c r="D36" t="str">
        <f>"GNA"</f>
        <v>GNA</v>
      </c>
      <c r="E36" t="str">
        <f>"GNQ"</f>
        <v>GNQ</v>
      </c>
      <c r="F36" t="str">
        <f>"HD7"</f>
        <v>HD7</v>
      </c>
      <c r="G36" t="str">
        <f>"HQ3"</f>
        <v>HQ3</v>
      </c>
      <c r="H36" t="str">
        <f>"HS1"</f>
        <v>HS1</v>
      </c>
      <c r="I36" t="str">
        <f>"IKR"</f>
        <v>IKR</v>
      </c>
      <c r="J36" t="str">
        <f>"IVD"</f>
        <v>IVD</v>
      </c>
      <c r="K36" t="str">
        <f>"J17"</f>
        <v>J17</v>
      </c>
      <c r="L36" t="str">
        <f>"J23"</f>
        <v>J23</v>
      </c>
      <c r="M36" t="str">
        <f>"J71"</f>
        <v>J71</v>
      </c>
      <c r="N36" t="str">
        <f>"JE0"</f>
        <v>JE0</v>
      </c>
      <c r="O36" t="str">
        <f>"JJ2"</f>
        <v>JJ2</v>
      </c>
    </row>
    <row r="37" spans="1:15" x14ac:dyDescent="0.2">
      <c r="A37" t="str">
        <f>"JLA"</f>
        <v>JLA</v>
      </c>
      <c r="B37" t="str">
        <f>"JM8"</f>
        <v>JM8</v>
      </c>
      <c r="C37" t="str">
        <f>"K1O"</f>
        <v>K1O</v>
      </c>
      <c r="D37" t="str">
        <f>"K4C"</f>
        <v>K4C</v>
      </c>
      <c r="E37" t="str">
        <f>"K6L"</f>
        <v>K6L</v>
      </c>
      <c r="F37" t="str">
        <f>"KA1"</f>
        <v>KA1</v>
      </c>
      <c r="G37" t="str">
        <f>"KBC"</f>
        <v>KBC</v>
      </c>
      <c r="H37" t="str">
        <f>"KI3"</f>
        <v>KI3</v>
      </c>
      <c r="I37" t="str">
        <f>"KL9"</f>
        <v>KL9</v>
      </c>
      <c r="J37" t="str">
        <f>"KSG"</f>
        <v>KSG</v>
      </c>
      <c r="K37" t="str">
        <f>"KU9"</f>
        <v>KU9</v>
      </c>
      <c r="L37" t="str">
        <f>"LAH"</f>
        <v>LAH</v>
      </c>
      <c r="M37" t="str">
        <f>"LHD"</f>
        <v>LHD</v>
      </c>
      <c r="N37" t="str">
        <f>"M3H"</f>
        <v>M3H</v>
      </c>
      <c r="O37" t="str">
        <f>"MAO"</f>
        <v>MAO</v>
      </c>
    </row>
    <row r="38" spans="1:15" x14ac:dyDescent="0.2">
      <c r="A38" t="str">
        <f>"MDE"</f>
        <v>MDE</v>
      </c>
      <c r="B38" t="str">
        <f>"MM1"</f>
        <v>MM1</v>
      </c>
      <c r="C38" t="str">
        <f>"N08"</f>
        <v>N08</v>
      </c>
      <c r="D38" t="str">
        <f>"N2D"</f>
        <v>N2D</v>
      </c>
      <c r="E38" t="str">
        <f>"N37"</f>
        <v>N37</v>
      </c>
      <c r="F38" t="str">
        <f>"N5L"</f>
        <v>N5L</v>
      </c>
      <c r="G38" t="str">
        <f>"NAM"</f>
        <v>NAM</v>
      </c>
      <c r="H38" t="str">
        <f>"ND8"</f>
        <v>ND8</v>
      </c>
      <c r="I38" t="str">
        <f>"NFD"</f>
        <v>NFD</v>
      </c>
      <c r="J38" t="str">
        <f>"NKC"</f>
        <v>NKC</v>
      </c>
      <c r="K38" t="str">
        <f>"NKD"</f>
        <v>NKD</v>
      </c>
      <c r="L38" t="str">
        <f>"PAP"</f>
        <v>PAP</v>
      </c>
      <c r="M38" t="str">
        <f>"PPW"</f>
        <v>PPW</v>
      </c>
      <c r="N38" t="str">
        <f>"PS4"</f>
        <v>PS4</v>
      </c>
      <c r="O38" t="str">
        <f>"Q2T"</f>
        <v>Q2T</v>
      </c>
    </row>
    <row r="39" spans="1:15" x14ac:dyDescent="0.2">
      <c r="A39" t="str">
        <f>"Q6M"</f>
        <v>Q6M</v>
      </c>
      <c r="B39" t="str">
        <f>"RSR"</f>
        <v>RSR</v>
      </c>
      <c r="C39" t="str">
        <f>"T4L"</f>
        <v>T4L</v>
      </c>
      <c r="D39" t="str">
        <f>"T79"</f>
        <v>T79</v>
      </c>
      <c r="E39" t="str">
        <f>"T7E"</f>
        <v>T7E</v>
      </c>
      <c r="F39" t="str">
        <f>"T87"</f>
        <v>T87</v>
      </c>
      <c r="G39" t="str">
        <f>"TB5"</f>
        <v>TB5</v>
      </c>
      <c r="H39" t="str">
        <f>"TB8"</f>
        <v>TB8</v>
      </c>
      <c r="I39" t="str">
        <f>"TD1"</f>
        <v>TD1</v>
      </c>
      <c r="J39" t="str">
        <f>"TDC"</f>
        <v>TDC</v>
      </c>
      <c r="K39" t="str">
        <f>"TFK"</f>
        <v>TFK</v>
      </c>
      <c r="L39" t="str">
        <f>"TQ5"</f>
        <v>TQ5</v>
      </c>
      <c r="M39" t="str">
        <f>"TR6"</f>
        <v>TR6</v>
      </c>
      <c r="N39" t="str">
        <f>"TSQ"</f>
        <v>TSQ</v>
      </c>
      <c r="O39" t="str">
        <f>"TTW"</f>
        <v>TTW</v>
      </c>
    </row>
    <row r="40" spans="1:15" x14ac:dyDescent="0.2">
      <c r="A40" t="str">
        <f>"U18"</f>
        <v>U18</v>
      </c>
      <c r="B40" t="str">
        <f>"UB3"</f>
        <v>UB3</v>
      </c>
      <c r="C40" t="str">
        <f>"UBD"</f>
        <v>UBD</v>
      </c>
      <c r="D40" t="str">
        <f>"UBI"</f>
        <v>UBI</v>
      </c>
      <c r="E40" t="str">
        <f>"UD5"</f>
        <v>UD5</v>
      </c>
      <c r="F40" t="str">
        <f>"UE1"</f>
        <v>UE1</v>
      </c>
      <c r="G40" t="str">
        <f>"UE4"</f>
        <v>UE4</v>
      </c>
      <c r="H40" t="str">
        <f>"UEC"</f>
        <v>UEC</v>
      </c>
      <c r="I40" t="str">
        <f>"UEN"</f>
        <v>UEN</v>
      </c>
      <c r="J40" t="str">
        <f>"UEU"</f>
        <v>UEU</v>
      </c>
      <c r="K40" t="str">
        <f>"UFG"</f>
        <v>UFG</v>
      </c>
      <c r="L40" t="str">
        <f>"UGE"</f>
        <v>UGE</v>
      </c>
      <c r="M40" t="str">
        <f>"UGN"</f>
        <v>UGN</v>
      </c>
      <c r="N40" t="str">
        <f>"UHG"</f>
        <v>UHG</v>
      </c>
      <c r="O40" t="str">
        <f>"UHH"</f>
        <v>UHH</v>
      </c>
    </row>
    <row r="41" spans="1:15" x14ac:dyDescent="0.2">
      <c r="A41" t="str">
        <f>"UHO"</f>
        <v>UHO</v>
      </c>
      <c r="B41" t="str">
        <f>"UHX"</f>
        <v>UHX</v>
      </c>
      <c r="C41" t="str">
        <f>"UJN"</f>
        <v>UJN</v>
      </c>
      <c r="D41" t="str">
        <f>"UKI"</f>
        <v>UKI</v>
      </c>
      <c r="E41" t="str">
        <f>"UKT"</f>
        <v>UKT</v>
      </c>
      <c r="F41" t="str">
        <f>"UL5"</f>
        <v>UL5</v>
      </c>
      <c r="G41" t="str">
        <f>"UQS"</f>
        <v>UQS</v>
      </c>
      <c r="H41" t="str">
        <f>"URB"</f>
        <v>URB</v>
      </c>
      <c r="I41" t="str">
        <f>"URT"</f>
        <v>URT</v>
      </c>
      <c r="J41" t="str">
        <f>"UV6"</f>
        <v>UV6</v>
      </c>
      <c r="K41" t="str">
        <f>"UVX"</f>
        <v>UVX</v>
      </c>
      <c r="L41" t="str">
        <f>"UXP"</f>
        <v>UXP</v>
      </c>
      <c r="M41" t="str">
        <f>"V6K"</f>
        <v>V6K</v>
      </c>
      <c r="N41" t="str">
        <f>"V76"</f>
        <v>V76</v>
      </c>
      <c r="O41" t="str">
        <f>"V86"</f>
        <v>V86</v>
      </c>
    </row>
    <row r="42" spans="1:15" x14ac:dyDescent="0.2">
      <c r="A42" t="str">
        <f>"VA3"</f>
        <v>VA3</v>
      </c>
      <c r="B42" t="str">
        <f>"VDZ"</f>
        <v>VDZ</v>
      </c>
      <c r="C42" t="str">
        <f>"VH9"</f>
        <v>VH9</v>
      </c>
      <c r="D42" t="str">
        <f>"VLF"</f>
        <v>VLF</v>
      </c>
      <c r="E42" t="str">
        <f>"VRF"</f>
        <v>VRF</v>
      </c>
      <c r="F42" t="str">
        <f>"VRG"</f>
        <v>VRG</v>
      </c>
      <c r="G42" t="str">
        <f>"VRH"</f>
        <v>VRH</v>
      </c>
      <c r="H42" t="str">
        <f>"VRJ"</f>
        <v>VRJ</v>
      </c>
      <c r="I42" t="str">
        <f>"VRK"</f>
        <v>VRK</v>
      </c>
      <c r="J42" t="str">
        <f>"VRL"</f>
        <v>VRL</v>
      </c>
      <c r="K42" t="str">
        <f>"VRM"</f>
        <v>VRM</v>
      </c>
      <c r="L42" t="str">
        <f>"VRN"</f>
        <v>VRN</v>
      </c>
      <c r="M42" t="str">
        <f>"VRR"</f>
        <v>VRR</v>
      </c>
      <c r="N42" t="str">
        <f>"VTI"</f>
        <v>VTI</v>
      </c>
      <c r="O42" t="str">
        <f>"VV4"</f>
        <v>VV4</v>
      </c>
    </row>
    <row r="43" spans="1:15" x14ac:dyDescent="0.2">
      <c r="A43" t="str">
        <f>"WMX"</f>
        <v>WMX</v>
      </c>
      <c r="B43" t="str">
        <f>"XL8"</f>
        <v>XL8</v>
      </c>
      <c r="C43" t="str">
        <f>"Y7C"</f>
        <v>Y7C</v>
      </c>
      <c r="D43" t="str">
        <f>"ZN2"</f>
        <v>ZN2</v>
      </c>
      <c r="E43" t="str">
        <f>"ZRE"</f>
        <v>ZRE</v>
      </c>
    </row>
    <row r="44" spans="1:15" x14ac:dyDescent="0.2">
      <c r="A44" t="str">
        <f>"4"</f>
        <v>4</v>
      </c>
      <c r="B44" t="str">
        <f>"1SS3012506 "</f>
        <v xml:space="preserve">1SS3012506 </v>
      </c>
      <c r="C44" t="str">
        <f>"05"</f>
        <v>05</v>
      </c>
      <c r="D44" t="str">
        <f>"221226"</f>
        <v>221226</v>
      </c>
      <c r="E44" t="str">
        <f>"231706500"</f>
        <v>231706500</v>
      </c>
      <c r="F44" t="str">
        <f>"LSGZV8355PD083611"</f>
        <v>LSGZV8355PD083611</v>
      </c>
      <c r="G44" t="str">
        <f>"9Q02    "</f>
        <v xml:space="preserve">9Q02    </v>
      </c>
      <c r="H44" t="str">
        <f>"OS1     "</f>
        <v xml:space="preserve">OS1     </v>
      </c>
      <c r="I44" t="str">
        <f>"2       "</f>
        <v xml:space="preserve">2       </v>
      </c>
      <c r="J44" t="str">
        <f>" GGT"</f>
        <v xml:space="preserve"> GGT</v>
      </c>
      <c r="K44" t="str">
        <f>" 6ZU26"</f>
        <v xml:space="preserve"> 6ZU26</v>
      </c>
      <c r="L44" t="str">
        <f>"1.5T F  "</f>
        <v xml:space="preserve">1.5T F  </v>
      </c>
      <c r="M44" t="str">
        <f>"1099098167          "</f>
        <v xml:space="preserve">1099098167          </v>
      </c>
    </row>
    <row r="45" spans="1:15" x14ac:dyDescent="0.2">
      <c r="A45" t="str">
        <f>"0ST"</f>
        <v>0ST</v>
      </c>
      <c r="B45" t="str">
        <f>"1MP"</f>
        <v>1MP</v>
      </c>
      <c r="C45" t="str">
        <f>"1NF"</f>
        <v>1NF</v>
      </c>
      <c r="D45" t="str">
        <f>"1SJ"</f>
        <v>1SJ</v>
      </c>
      <c r="E45" t="str">
        <f>"2NF"</f>
        <v>2NF</v>
      </c>
      <c r="F45" t="str">
        <f>"2ST"</f>
        <v>2ST</v>
      </c>
      <c r="G45" t="str">
        <f>"3ST"</f>
        <v>3ST</v>
      </c>
      <c r="H45" t="str">
        <f>"4CT"</f>
        <v>4CT</v>
      </c>
      <c r="I45" t="str">
        <f>"4ST"</f>
        <v>4ST</v>
      </c>
      <c r="J45" t="str">
        <f>"5A7"</f>
        <v>5A7</v>
      </c>
      <c r="K45" t="str">
        <f>"5FC"</f>
        <v>5FC</v>
      </c>
      <c r="L45" t="str">
        <f>"5ST"</f>
        <v>5ST</v>
      </c>
      <c r="M45" t="str">
        <f>"6X1"</f>
        <v>6X1</v>
      </c>
      <c r="N45" t="str">
        <f>"7X1"</f>
        <v>7X1</v>
      </c>
      <c r="O45" t="str">
        <f>"8X2"</f>
        <v>8X2</v>
      </c>
    </row>
    <row r="46" spans="1:15" x14ac:dyDescent="0.2">
      <c r="A46" t="str">
        <f>"9L3"</f>
        <v>9L3</v>
      </c>
      <c r="B46" t="str">
        <f>"9X2"</f>
        <v>9X2</v>
      </c>
      <c r="C46" t="str">
        <f>"A2V"</f>
        <v>A2V</v>
      </c>
      <c r="D46" t="str">
        <f>"A51"</f>
        <v>A51</v>
      </c>
      <c r="E46" t="str">
        <f>"A7H"</f>
        <v>A7H</v>
      </c>
      <c r="F46" t="str">
        <f>"AEF"</f>
        <v>AEF</v>
      </c>
      <c r="G46" t="str">
        <f>"AER"</f>
        <v>AER</v>
      </c>
      <c r="H46" t="str">
        <f>"AJC"</f>
        <v>AJC</v>
      </c>
      <c r="I46" t="str">
        <f>"AKO"</f>
        <v>AKO</v>
      </c>
      <c r="J46" t="str">
        <f>"AMG"</f>
        <v>AMG</v>
      </c>
      <c r="K46" t="str">
        <f>"ASV"</f>
        <v>ASV</v>
      </c>
      <c r="L46" t="str">
        <f>"ATH"</f>
        <v>ATH</v>
      </c>
      <c r="M46" t="str">
        <f>"AXG"</f>
        <v>AXG</v>
      </c>
      <c r="N46" t="str">
        <f>"AXP"</f>
        <v>AXP</v>
      </c>
      <c r="O46" t="str">
        <f>"AYC"</f>
        <v>AYC</v>
      </c>
    </row>
    <row r="47" spans="1:15" x14ac:dyDescent="0.2">
      <c r="A47" t="str">
        <f>"B3T"</f>
        <v>B3T</v>
      </c>
      <c r="B47" t="str">
        <f>"B6K"</f>
        <v>B6K</v>
      </c>
      <c r="C47" t="str">
        <f>"B96"</f>
        <v>B96</v>
      </c>
      <c r="D47" t="str">
        <f>"BB4"</f>
        <v>BB4</v>
      </c>
      <c r="E47" t="str">
        <f>"BGY"</f>
        <v>BGY</v>
      </c>
      <c r="F47" t="str">
        <f>"BHO"</f>
        <v>BHO</v>
      </c>
      <c r="G47" t="str">
        <f>"BTM"</f>
        <v>BTM</v>
      </c>
      <c r="H47" t="str">
        <f>"BTV"</f>
        <v>BTV</v>
      </c>
      <c r="I47" t="str">
        <f>"C25"</f>
        <v>C25</v>
      </c>
      <c r="J47" t="str">
        <f>"C59"</f>
        <v>C59</v>
      </c>
      <c r="K47" t="str">
        <f>"CAJ"</f>
        <v>CAJ</v>
      </c>
      <c r="L47" t="str">
        <f>"CJ2"</f>
        <v>CJ2</v>
      </c>
      <c r="M47" t="str">
        <f>"CZ2"</f>
        <v>CZ2</v>
      </c>
      <c r="N47" t="str">
        <f>"D31"</f>
        <v>D31</v>
      </c>
      <c r="O47" t="str">
        <f>"D75"</f>
        <v>D75</v>
      </c>
    </row>
    <row r="48" spans="1:15" x14ac:dyDescent="0.2">
      <c r="A48" t="str">
        <f>"DA5"</f>
        <v>DA5</v>
      </c>
      <c r="B48" t="str">
        <f>"DCP"</f>
        <v>DCP</v>
      </c>
      <c r="C48" t="str">
        <f>"DP6"</f>
        <v>DP6</v>
      </c>
      <c r="D48" t="str">
        <f>"DWM"</f>
        <v>DWM</v>
      </c>
      <c r="E48" t="str">
        <f>"EKO"</f>
        <v>EKO</v>
      </c>
      <c r="F48" t="str">
        <f>"ENL"</f>
        <v>ENL</v>
      </c>
      <c r="G48" t="str">
        <f>"EPH"</f>
        <v>EPH</v>
      </c>
      <c r="H48" t="str">
        <f>"FHB"</f>
        <v>FHB</v>
      </c>
      <c r="I48" t="str">
        <f>"FHO"</f>
        <v>FHO</v>
      </c>
      <c r="J48" t="str">
        <f>"FWD"</f>
        <v>FWD</v>
      </c>
      <c r="K48" t="str">
        <f>"GGT"</f>
        <v>GGT</v>
      </c>
      <c r="L48" t="str">
        <f>"GNA"</f>
        <v>GNA</v>
      </c>
      <c r="M48" t="str">
        <f>"GNQ"</f>
        <v>GNQ</v>
      </c>
      <c r="N48" t="str">
        <f>"HQ3"</f>
        <v>HQ3</v>
      </c>
      <c r="O48" t="str">
        <f>"IKR"</f>
        <v>IKR</v>
      </c>
    </row>
    <row r="49" spans="1:15" x14ac:dyDescent="0.2">
      <c r="A49" t="str">
        <f>"IVD"</f>
        <v>IVD</v>
      </c>
      <c r="B49" t="str">
        <f>"J23"</f>
        <v>J23</v>
      </c>
      <c r="C49" t="str">
        <f>"J60"</f>
        <v>J60</v>
      </c>
      <c r="D49" t="str">
        <f>"J71"</f>
        <v>J71</v>
      </c>
      <c r="E49" t="str">
        <f>"JE0"</f>
        <v>JE0</v>
      </c>
      <c r="F49" t="str">
        <f>"JJ2"</f>
        <v>JJ2</v>
      </c>
      <c r="G49" t="str">
        <f>"JLA"</f>
        <v>JLA</v>
      </c>
      <c r="H49" t="str">
        <f>"JM8"</f>
        <v>JM8</v>
      </c>
      <c r="I49" t="str">
        <f>"K1O"</f>
        <v>K1O</v>
      </c>
      <c r="J49" t="str">
        <f>"K34"</f>
        <v>K34</v>
      </c>
      <c r="K49" t="str">
        <f>"K6L"</f>
        <v>K6L</v>
      </c>
      <c r="L49" t="str">
        <f>"KBC"</f>
        <v>KBC</v>
      </c>
      <c r="M49" t="str">
        <f>"KL9"</f>
        <v>KL9</v>
      </c>
      <c r="N49" t="str">
        <f>"KTI"</f>
        <v>KTI</v>
      </c>
      <c r="O49" t="str">
        <f>"LAH"</f>
        <v>LAH</v>
      </c>
    </row>
    <row r="50" spans="1:15" x14ac:dyDescent="0.2">
      <c r="A50" t="str">
        <f>"LHD"</f>
        <v>LHD</v>
      </c>
      <c r="B50" t="str">
        <f>"M3H"</f>
        <v>M3H</v>
      </c>
      <c r="C50" t="str">
        <f>"MAO"</f>
        <v>MAO</v>
      </c>
      <c r="D50" t="str">
        <f>"MDE"</f>
        <v>MDE</v>
      </c>
      <c r="E50" t="str">
        <f>"MM1"</f>
        <v>MM1</v>
      </c>
      <c r="F50" t="str">
        <f>"N08"</f>
        <v>N08</v>
      </c>
      <c r="G50" t="str">
        <f>"N2D"</f>
        <v>N2D</v>
      </c>
      <c r="H50" t="str">
        <f>"N37"</f>
        <v>N37</v>
      </c>
      <c r="I50" t="str">
        <f>"N5L"</f>
        <v>N5L</v>
      </c>
      <c r="J50" t="str">
        <f>"NAM"</f>
        <v>NAM</v>
      </c>
      <c r="K50" t="str">
        <f>"ND8"</f>
        <v>ND8</v>
      </c>
      <c r="L50" t="str">
        <f>"NFD"</f>
        <v>NFD</v>
      </c>
      <c r="M50" t="str">
        <f>"NKC"</f>
        <v>NKC</v>
      </c>
      <c r="N50" t="str">
        <f>"NKD"</f>
        <v>NKD</v>
      </c>
      <c r="O50" t="str">
        <f>"PAP"</f>
        <v>PAP</v>
      </c>
    </row>
    <row r="51" spans="1:15" x14ac:dyDescent="0.2">
      <c r="A51" t="str">
        <f>"PPW"</f>
        <v>PPW</v>
      </c>
      <c r="B51" t="str">
        <f>"QSG"</f>
        <v>QSG</v>
      </c>
      <c r="C51" t="str">
        <f>"RSR"</f>
        <v>RSR</v>
      </c>
      <c r="D51" t="str">
        <f>"RSZ"</f>
        <v>RSZ</v>
      </c>
      <c r="E51" t="str">
        <f>"T4L"</f>
        <v>T4L</v>
      </c>
      <c r="F51" t="str">
        <f>"T79"</f>
        <v>T79</v>
      </c>
      <c r="G51" t="str">
        <f>"T7E"</f>
        <v>T7E</v>
      </c>
      <c r="H51" t="str">
        <f>"T83"</f>
        <v>T83</v>
      </c>
      <c r="I51" t="str">
        <f>"TB4"</f>
        <v>TB4</v>
      </c>
      <c r="J51" t="str">
        <f>"TB8"</f>
        <v>TB8</v>
      </c>
      <c r="K51" t="str">
        <f>"TD1"</f>
        <v>TD1</v>
      </c>
      <c r="L51" t="str">
        <f>"TFK"</f>
        <v>TFK</v>
      </c>
      <c r="M51" t="str">
        <f>"TQ5"</f>
        <v>TQ5</v>
      </c>
      <c r="N51" t="str">
        <f>"TR6"</f>
        <v>TR6</v>
      </c>
      <c r="O51" t="str">
        <f>"U18"</f>
        <v>U18</v>
      </c>
    </row>
    <row r="52" spans="1:15" x14ac:dyDescent="0.2">
      <c r="A52" t="str">
        <f>"UB3"</f>
        <v>UB3</v>
      </c>
      <c r="B52" t="str">
        <f>"UBD"</f>
        <v>UBD</v>
      </c>
      <c r="C52" t="str">
        <f>"UBI"</f>
        <v>UBI</v>
      </c>
      <c r="D52" t="str">
        <f>"UD7"</f>
        <v>UD7</v>
      </c>
      <c r="E52" t="str">
        <f>"UE1"</f>
        <v>UE1</v>
      </c>
      <c r="F52" t="str">
        <f>"UE4"</f>
        <v>UE4</v>
      </c>
      <c r="G52" t="str">
        <f>"UEN"</f>
        <v>UEN</v>
      </c>
      <c r="H52" t="str">
        <f>"UEU"</f>
        <v>UEU</v>
      </c>
      <c r="I52" t="str">
        <f>"UGE"</f>
        <v>UGE</v>
      </c>
      <c r="J52" t="str">
        <f>"UHG"</f>
        <v>UHG</v>
      </c>
      <c r="K52" t="str">
        <f>"UHH"</f>
        <v>UHH</v>
      </c>
      <c r="L52" t="str">
        <f>"UHO"</f>
        <v>UHO</v>
      </c>
      <c r="M52" t="str">
        <f>"UHX"</f>
        <v>UHX</v>
      </c>
      <c r="N52" t="str">
        <f>"UHY"</f>
        <v>UHY</v>
      </c>
      <c r="O52" t="str">
        <f>"UIT"</f>
        <v>UIT</v>
      </c>
    </row>
    <row r="53" spans="1:15" x14ac:dyDescent="0.2">
      <c r="A53" t="str">
        <f>"UJN"</f>
        <v>UJN</v>
      </c>
      <c r="B53" t="str">
        <f>"UKT"</f>
        <v>UKT</v>
      </c>
      <c r="C53" t="str">
        <f>"UL5"</f>
        <v>UL5</v>
      </c>
      <c r="D53" t="str">
        <f>"UQG"</f>
        <v>UQG</v>
      </c>
      <c r="E53" t="str">
        <f>"URB"</f>
        <v>URB</v>
      </c>
      <c r="F53" t="str">
        <f>"URT"</f>
        <v>URT</v>
      </c>
      <c r="G53" t="str">
        <f>"UVX"</f>
        <v>UVX</v>
      </c>
      <c r="H53" t="str">
        <f>"V6K"</f>
        <v>V6K</v>
      </c>
      <c r="I53" t="str">
        <f>"V76"</f>
        <v>V76</v>
      </c>
      <c r="J53" t="str">
        <f>"V86"</f>
        <v>V86</v>
      </c>
      <c r="K53" t="str">
        <f>"VA3"</f>
        <v>VA3</v>
      </c>
      <c r="L53" t="str">
        <f>"VDZ"</f>
        <v>VDZ</v>
      </c>
      <c r="M53" t="str">
        <f>"VH9"</f>
        <v>VH9</v>
      </c>
      <c r="N53" t="str">
        <f>"VLF"</f>
        <v>VLF</v>
      </c>
      <c r="O53" t="str">
        <f>"VRF"</f>
        <v>VRF</v>
      </c>
    </row>
    <row r="54" spans="1:15" x14ac:dyDescent="0.2">
      <c r="A54" t="str">
        <f>"VRG"</f>
        <v>VRG</v>
      </c>
      <c r="B54" t="str">
        <f>"VRH"</f>
        <v>VRH</v>
      </c>
      <c r="C54" t="str">
        <f>"VRJ"</f>
        <v>VRJ</v>
      </c>
      <c r="D54" t="str">
        <f>"VRK"</f>
        <v>VRK</v>
      </c>
      <c r="E54" t="str">
        <f>"VRL"</f>
        <v>VRL</v>
      </c>
      <c r="F54" t="str">
        <f>"VRM"</f>
        <v>VRM</v>
      </c>
      <c r="G54" t="str">
        <f>"VRN"</f>
        <v>VRN</v>
      </c>
      <c r="H54" t="str">
        <f>"VRR"</f>
        <v>VRR</v>
      </c>
      <c r="I54" t="str">
        <f>"VTI"</f>
        <v>VTI</v>
      </c>
      <c r="J54" t="str">
        <f>"VV4"</f>
        <v>VV4</v>
      </c>
      <c r="K54" t="str">
        <f>"WMX"</f>
        <v>WMX</v>
      </c>
      <c r="L54" t="str">
        <f>"XL8"</f>
        <v>XL8</v>
      </c>
      <c r="M54" t="str">
        <f>"Y7C"</f>
        <v>Y7C</v>
      </c>
    </row>
    <row r="55" spans="1:15" x14ac:dyDescent="0.2">
      <c r="A55" t="str">
        <f>"5"</f>
        <v>5</v>
      </c>
      <c r="B55" t="str">
        <f>"1SS3012507 "</f>
        <v xml:space="preserve">1SS3012507 </v>
      </c>
      <c r="C55" t="str">
        <f>"05"</f>
        <v>05</v>
      </c>
      <c r="D55" t="str">
        <f>"221226"</f>
        <v>221226</v>
      </c>
      <c r="E55" t="str">
        <f>"231706501"</f>
        <v>231706501</v>
      </c>
      <c r="F55" t="str">
        <f>"LSGZV8357PD083612"</f>
        <v>LSGZV8357PD083612</v>
      </c>
      <c r="G55" t="str">
        <f>"9Q30    "</f>
        <v xml:space="preserve">9Q30    </v>
      </c>
      <c r="H55" t="str">
        <f>"OS1     "</f>
        <v xml:space="preserve">OS1     </v>
      </c>
      <c r="I55" t="str">
        <f>"2       "</f>
        <v xml:space="preserve">2       </v>
      </c>
      <c r="J55" t="str">
        <f>" G4S"</f>
        <v xml:space="preserve"> G4S</v>
      </c>
      <c r="K55" t="str">
        <f>" 6ZX26"</f>
        <v xml:space="preserve"> 6ZX26</v>
      </c>
      <c r="L55" t="str">
        <f>"1.5T F  "</f>
        <v xml:space="preserve">1.5T F  </v>
      </c>
      <c r="M55" t="str">
        <f>"1099098181          "</f>
        <v xml:space="preserve">1099098181          </v>
      </c>
    </row>
    <row r="56" spans="1:15" x14ac:dyDescent="0.2">
      <c r="A56" t="str">
        <f>"0ST"</f>
        <v>0ST</v>
      </c>
      <c r="B56" t="str">
        <f>"1MP"</f>
        <v>1MP</v>
      </c>
      <c r="C56" t="str">
        <f>"1NF"</f>
        <v>1NF</v>
      </c>
      <c r="D56" t="str">
        <f>"1SL"</f>
        <v>1SL</v>
      </c>
      <c r="E56" t="str">
        <f>"2NF"</f>
        <v>2NF</v>
      </c>
      <c r="F56" t="str">
        <f>"2ST"</f>
        <v>2ST</v>
      </c>
      <c r="G56" t="str">
        <f>"3ST"</f>
        <v>3ST</v>
      </c>
      <c r="H56" t="str">
        <f>"4NN"</f>
        <v>4NN</v>
      </c>
      <c r="I56" t="str">
        <f>"4ST"</f>
        <v>4ST</v>
      </c>
      <c r="J56" t="str">
        <f>"5A7"</f>
        <v>5A7</v>
      </c>
      <c r="K56" t="str">
        <f>"5FC"</f>
        <v>5FC</v>
      </c>
      <c r="L56" t="str">
        <f>"5ST"</f>
        <v>5ST</v>
      </c>
      <c r="M56" t="str">
        <f>"6X1"</f>
        <v>6X1</v>
      </c>
      <c r="N56" t="str">
        <f>"7X1"</f>
        <v>7X1</v>
      </c>
      <c r="O56" t="str">
        <f>"8X2"</f>
        <v>8X2</v>
      </c>
    </row>
    <row r="57" spans="1:15" x14ac:dyDescent="0.2">
      <c r="A57" t="str">
        <f>"94T"</f>
        <v>94T</v>
      </c>
      <c r="B57" t="str">
        <f>"9L3"</f>
        <v>9L3</v>
      </c>
      <c r="C57" t="str">
        <f>"9X2"</f>
        <v>9X2</v>
      </c>
      <c r="D57" t="str">
        <f>"A2X"</f>
        <v>A2X</v>
      </c>
      <c r="E57" t="str">
        <f>"A45"</f>
        <v>A45</v>
      </c>
      <c r="F57" t="str">
        <f>"A51"</f>
        <v>A51</v>
      </c>
      <c r="G57" t="str">
        <f>"A7K"</f>
        <v>A7K</v>
      </c>
      <c r="H57" t="str">
        <f>"AEF"</f>
        <v>AEF</v>
      </c>
      <c r="I57" t="str">
        <f>"AER"</f>
        <v>AER</v>
      </c>
      <c r="J57" t="str">
        <f>"AJC"</f>
        <v>AJC</v>
      </c>
      <c r="K57" t="str">
        <f>"AKO"</f>
        <v>AKO</v>
      </c>
      <c r="L57" t="str">
        <f>"AMG"</f>
        <v>AMG</v>
      </c>
      <c r="M57" t="str">
        <f>"ASV"</f>
        <v>ASV</v>
      </c>
      <c r="N57" t="str">
        <f>"ATH"</f>
        <v>ATH</v>
      </c>
      <c r="O57" t="str">
        <f>"AVK"</f>
        <v>AVK</v>
      </c>
    </row>
    <row r="58" spans="1:15" x14ac:dyDescent="0.2">
      <c r="A58" t="str">
        <f>"AVU"</f>
        <v>AVU</v>
      </c>
      <c r="B58" t="str">
        <f>"AXG"</f>
        <v>AXG</v>
      </c>
      <c r="C58" t="str">
        <f>"AXP"</f>
        <v>AXP</v>
      </c>
      <c r="D58" t="str">
        <f>"AYC"</f>
        <v>AYC</v>
      </c>
      <c r="E58" t="str">
        <f>"B3T"</f>
        <v>B3T</v>
      </c>
      <c r="F58" t="str">
        <f>"B56"</f>
        <v>B56</v>
      </c>
      <c r="G58" t="str">
        <f>"B71"</f>
        <v>B71</v>
      </c>
      <c r="H58" t="str">
        <f>"B72"</f>
        <v>B72</v>
      </c>
      <c r="I58" t="str">
        <f>"B86"</f>
        <v>B86</v>
      </c>
      <c r="J58" t="str">
        <f>"BB4"</f>
        <v>BB4</v>
      </c>
      <c r="K58" t="str">
        <f>"BGY"</f>
        <v>BGY</v>
      </c>
      <c r="L58" t="str">
        <f>"BTM"</f>
        <v>BTM</v>
      </c>
      <c r="M58" t="str">
        <f>"BTV"</f>
        <v>BTV</v>
      </c>
      <c r="N58" t="str">
        <f>"C25"</f>
        <v>C25</v>
      </c>
      <c r="O58" t="str">
        <f>"C59"</f>
        <v>C59</v>
      </c>
    </row>
    <row r="59" spans="1:15" x14ac:dyDescent="0.2">
      <c r="A59" t="str">
        <f>"C73"</f>
        <v>C73</v>
      </c>
      <c r="B59" t="str">
        <f>"CAJ"</f>
        <v>CAJ</v>
      </c>
      <c r="C59" t="str">
        <f>"CE1"</f>
        <v>CE1</v>
      </c>
      <c r="D59" t="str">
        <f>"CJ2"</f>
        <v>CJ2</v>
      </c>
      <c r="E59" t="str">
        <f>"CTS"</f>
        <v>CTS</v>
      </c>
      <c r="F59" t="str">
        <f>"CWH"</f>
        <v>CWH</v>
      </c>
      <c r="G59" t="str">
        <f>"CZ2"</f>
        <v>CZ2</v>
      </c>
      <c r="H59" t="str">
        <f>"D75"</f>
        <v>D75</v>
      </c>
      <c r="I59" t="str">
        <f>"DA5"</f>
        <v>DA5</v>
      </c>
      <c r="J59" t="str">
        <f>"DCP"</f>
        <v>DCP</v>
      </c>
      <c r="K59" t="str">
        <f>"DD8"</f>
        <v>DD8</v>
      </c>
      <c r="L59" t="str">
        <f>"DW6"</f>
        <v>DW6</v>
      </c>
      <c r="M59" t="str">
        <f>"EKG"</f>
        <v>EKG</v>
      </c>
      <c r="N59" t="str">
        <f>"ENL"</f>
        <v>ENL</v>
      </c>
      <c r="O59" t="str">
        <f>"EPH"</f>
        <v>EPH</v>
      </c>
    </row>
    <row r="60" spans="1:15" x14ac:dyDescent="0.2">
      <c r="A60" t="str">
        <f>"EWE"</f>
        <v>EWE</v>
      </c>
      <c r="B60" t="str">
        <f>"FHB"</f>
        <v>FHB</v>
      </c>
      <c r="C60" t="str">
        <f>"FHO"</f>
        <v>FHO</v>
      </c>
      <c r="D60" t="str">
        <f>"FWD"</f>
        <v>FWD</v>
      </c>
      <c r="E60" t="str">
        <f>"G4S"</f>
        <v>G4S</v>
      </c>
      <c r="F60" t="str">
        <f>"GNA"</f>
        <v>GNA</v>
      </c>
      <c r="G60" t="str">
        <f>"GNQ"</f>
        <v>GNQ</v>
      </c>
      <c r="H60" t="str">
        <f>"HD7"</f>
        <v>HD7</v>
      </c>
      <c r="I60" t="str">
        <f>"HQ3"</f>
        <v>HQ3</v>
      </c>
      <c r="J60" t="str">
        <f>"IKR"</f>
        <v>IKR</v>
      </c>
      <c r="K60" t="str">
        <f>"IVD"</f>
        <v>IVD</v>
      </c>
      <c r="L60" t="str">
        <f>"J17"</f>
        <v>J17</v>
      </c>
      <c r="M60" t="str">
        <f>"J23"</f>
        <v>J23</v>
      </c>
      <c r="N60" t="str">
        <f>"J71"</f>
        <v>J71</v>
      </c>
      <c r="O60" t="str">
        <f>"JE0"</f>
        <v>JE0</v>
      </c>
    </row>
    <row r="61" spans="1:15" x14ac:dyDescent="0.2">
      <c r="A61" t="str">
        <f>"JF5"</f>
        <v>JF5</v>
      </c>
      <c r="B61" t="str">
        <f>"JJ2"</f>
        <v>JJ2</v>
      </c>
      <c r="C61" t="str">
        <f>"JLA"</f>
        <v>JLA</v>
      </c>
      <c r="D61" t="str">
        <f>"JM8"</f>
        <v>JM8</v>
      </c>
      <c r="E61" t="str">
        <f>"K1O"</f>
        <v>K1O</v>
      </c>
      <c r="F61" t="str">
        <f>"K6L"</f>
        <v>K6L</v>
      </c>
      <c r="G61" t="str">
        <f>"KA1"</f>
        <v>KA1</v>
      </c>
      <c r="H61" t="str">
        <f>"KBC"</f>
        <v>KBC</v>
      </c>
      <c r="I61" t="str">
        <f>"KI3"</f>
        <v>KI3</v>
      </c>
      <c r="J61" t="str">
        <f>"KL9"</f>
        <v>KL9</v>
      </c>
      <c r="K61" t="str">
        <f>"KSG"</f>
        <v>KSG</v>
      </c>
      <c r="L61" t="str">
        <f>"KU9"</f>
        <v>KU9</v>
      </c>
      <c r="M61" t="str">
        <f>"LAH"</f>
        <v>LAH</v>
      </c>
      <c r="N61" t="str">
        <f>"LHD"</f>
        <v>LHD</v>
      </c>
      <c r="O61" t="str">
        <f>"M3H"</f>
        <v>M3H</v>
      </c>
    </row>
    <row r="62" spans="1:15" x14ac:dyDescent="0.2">
      <c r="A62" t="str">
        <f>"MAO"</f>
        <v>MAO</v>
      </c>
      <c r="B62" t="str">
        <f>"MFI"</f>
        <v>MFI</v>
      </c>
      <c r="C62" t="str">
        <f>"MM1"</f>
        <v>MM1</v>
      </c>
      <c r="D62" t="str">
        <f>"N08"</f>
        <v>N08</v>
      </c>
      <c r="E62" t="str">
        <f>"N2D"</f>
        <v>N2D</v>
      </c>
      <c r="F62" t="str">
        <f>"N37"</f>
        <v>N37</v>
      </c>
      <c r="G62" t="str">
        <f>"N5L"</f>
        <v>N5L</v>
      </c>
      <c r="H62" t="str">
        <f>"NAM"</f>
        <v>NAM</v>
      </c>
      <c r="I62" t="str">
        <f>"ND8"</f>
        <v>ND8</v>
      </c>
      <c r="J62" t="str">
        <f>"NFD"</f>
        <v>NFD</v>
      </c>
      <c r="K62" t="str">
        <f>"NKC"</f>
        <v>NKC</v>
      </c>
      <c r="L62" t="str">
        <f>"NKD"</f>
        <v>NKD</v>
      </c>
      <c r="M62" t="str">
        <f>"PAP"</f>
        <v>PAP</v>
      </c>
      <c r="N62" t="str">
        <f>"PPW"</f>
        <v>PPW</v>
      </c>
      <c r="O62" t="str">
        <f>"PS4"</f>
        <v>PS4</v>
      </c>
    </row>
    <row r="63" spans="1:15" x14ac:dyDescent="0.2">
      <c r="A63" t="str">
        <f>"PXX"</f>
        <v>PXX</v>
      </c>
      <c r="B63" t="str">
        <f>"Q2T"</f>
        <v>Q2T</v>
      </c>
      <c r="C63" t="str">
        <f>"RSR"</f>
        <v>RSR</v>
      </c>
      <c r="D63" t="str">
        <f>"T4L"</f>
        <v>T4L</v>
      </c>
      <c r="E63" t="str">
        <f>"T79"</f>
        <v>T79</v>
      </c>
      <c r="F63" t="str">
        <f>"T7E"</f>
        <v>T7E</v>
      </c>
      <c r="G63" t="str">
        <f>"T87"</f>
        <v>T87</v>
      </c>
      <c r="H63" t="str">
        <f>"TB5"</f>
        <v>TB5</v>
      </c>
      <c r="I63" t="str">
        <f>"TB8"</f>
        <v>TB8</v>
      </c>
      <c r="J63" t="str">
        <f>"TD1"</f>
        <v>TD1</v>
      </c>
      <c r="K63" t="str">
        <f>"TDC"</f>
        <v>TDC</v>
      </c>
      <c r="L63" t="str">
        <f>"TFK"</f>
        <v>TFK</v>
      </c>
      <c r="M63" t="str">
        <f>"TQ5"</f>
        <v>TQ5</v>
      </c>
      <c r="N63" t="str">
        <f>"TR6"</f>
        <v>TR6</v>
      </c>
      <c r="O63" t="str">
        <f>"TSQ"</f>
        <v>TSQ</v>
      </c>
    </row>
    <row r="64" spans="1:15" x14ac:dyDescent="0.2">
      <c r="A64" t="str">
        <f>"TTW"</f>
        <v>TTW</v>
      </c>
      <c r="B64" t="str">
        <f>"U18"</f>
        <v>U18</v>
      </c>
      <c r="C64" t="str">
        <f>"UB3"</f>
        <v>UB3</v>
      </c>
      <c r="D64" t="str">
        <f>"UBD"</f>
        <v>UBD</v>
      </c>
      <c r="E64" t="str">
        <f>"UBI"</f>
        <v>UBI</v>
      </c>
      <c r="F64" t="str">
        <f>"UD7"</f>
        <v>UD7</v>
      </c>
      <c r="G64" t="str">
        <f>"UE1"</f>
        <v>UE1</v>
      </c>
      <c r="H64" t="str">
        <f>"UE4"</f>
        <v>UE4</v>
      </c>
      <c r="I64" t="str">
        <f>"UEN"</f>
        <v>UEN</v>
      </c>
      <c r="J64" t="str">
        <f>"UEU"</f>
        <v>UEU</v>
      </c>
      <c r="K64" t="str">
        <f>"UFG"</f>
        <v>UFG</v>
      </c>
      <c r="L64" t="str">
        <f>"UGE"</f>
        <v>UGE</v>
      </c>
      <c r="M64" t="str">
        <f>"UGN"</f>
        <v>UGN</v>
      </c>
      <c r="N64" t="str">
        <f>"UHG"</f>
        <v>UHG</v>
      </c>
      <c r="O64" t="str">
        <f>"UHH"</f>
        <v>UHH</v>
      </c>
    </row>
    <row r="65" spans="1:15" x14ac:dyDescent="0.2">
      <c r="A65" t="str">
        <f>"UHO"</f>
        <v>UHO</v>
      </c>
      <c r="B65" t="str">
        <f>"UHX"</f>
        <v>UHX</v>
      </c>
      <c r="C65" t="str">
        <f>"UIT"</f>
        <v>UIT</v>
      </c>
      <c r="D65" t="str">
        <f>"UJN"</f>
        <v>UJN</v>
      </c>
      <c r="E65" t="str">
        <f>"UKI"</f>
        <v>UKI</v>
      </c>
      <c r="F65" t="str">
        <f>"UKT"</f>
        <v>UKT</v>
      </c>
      <c r="G65" t="str">
        <f>"UL5"</f>
        <v>UL5</v>
      </c>
      <c r="H65" t="str">
        <f>"UQG"</f>
        <v>UQG</v>
      </c>
      <c r="I65" t="str">
        <f>"URB"</f>
        <v>URB</v>
      </c>
      <c r="J65" t="str">
        <f>"URT"</f>
        <v>URT</v>
      </c>
      <c r="K65" t="str">
        <f>"UVX"</f>
        <v>UVX</v>
      </c>
      <c r="L65" t="str">
        <f>"UXN"</f>
        <v>UXN</v>
      </c>
      <c r="M65" t="str">
        <f>"V5H"</f>
        <v>V5H</v>
      </c>
      <c r="N65" t="str">
        <f>"V76"</f>
        <v>V76</v>
      </c>
      <c r="O65" t="str">
        <f>"V86"</f>
        <v>V86</v>
      </c>
    </row>
    <row r="66" spans="1:15" x14ac:dyDescent="0.2">
      <c r="A66" t="str">
        <f>"VA3"</f>
        <v>VA3</v>
      </c>
      <c r="B66" t="str">
        <f>"VDZ"</f>
        <v>VDZ</v>
      </c>
      <c r="C66" t="str">
        <f>"VH9"</f>
        <v>VH9</v>
      </c>
      <c r="D66" t="str">
        <f>"VLF"</f>
        <v>VLF</v>
      </c>
      <c r="E66" t="str">
        <f>"VRF"</f>
        <v>VRF</v>
      </c>
      <c r="F66" t="str">
        <f>"VRG"</f>
        <v>VRG</v>
      </c>
      <c r="G66" t="str">
        <f>"VRH"</f>
        <v>VRH</v>
      </c>
      <c r="H66" t="str">
        <f>"VRJ"</f>
        <v>VRJ</v>
      </c>
      <c r="I66" t="str">
        <f>"VRK"</f>
        <v>VRK</v>
      </c>
      <c r="J66" t="str">
        <f>"VRL"</f>
        <v>VRL</v>
      </c>
      <c r="K66" t="str">
        <f>"VRM"</f>
        <v>VRM</v>
      </c>
      <c r="L66" t="str">
        <f>"VRN"</f>
        <v>VRN</v>
      </c>
      <c r="M66" t="str">
        <f>"VRR"</f>
        <v>VRR</v>
      </c>
      <c r="N66" t="str">
        <f>"VTI"</f>
        <v>VTI</v>
      </c>
      <c r="O66" t="str">
        <f>"VV4"</f>
        <v>VV4</v>
      </c>
    </row>
    <row r="67" spans="1:15" x14ac:dyDescent="0.2">
      <c r="A67" t="str">
        <f>"WMX"</f>
        <v>WMX</v>
      </c>
      <c r="B67" t="str">
        <f>"XL8"</f>
        <v>XL8</v>
      </c>
      <c r="C67" t="str">
        <f>"Y7C"</f>
        <v>Y7C</v>
      </c>
    </row>
    <row r="68" spans="1:15" x14ac:dyDescent="0.2">
      <c r="A68" t="str">
        <f>"6"</f>
        <v>6</v>
      </c>
      <c r="B68" t="str">
        <f>"1SS3012508 "</f>
        <v xml:space="preserve">1SS3012508 </v>
      </c>
      <c r="C68" t="str">
        <f>"05"</f>
        <v>05</v>
      </c>
      <c r="D68" t="str">
        <f>"221226"</f>
        <v>221226</v>
      </c>
      <c r="E68" t="str">
        <f>"231706502"</f>
        <v>231706502</v>
      </c>
      <c r="F68" t="str">
        <f>"LSGZV8359PD083613"</f>
        <v>LSGZV8359PD083613</v>
      </c>
      <c r="G68" t="str">
        <f>"9Q62    "</f>
        <v xml:space="preserve">9Q62    </v>
      </c>
      <c r="H68" t="str">
        <f>"OS1     "</f>
        <v xml:space="preserve">OS1     </v>
      </c>
      <c r="I68" t="str">
        <f>"2       "</f>
        <v xml:space="preserve">2       </v>
      </c>
      <c r="J68" t="str">
        <f>" GGH"</f>
        <v xml:space="preserve"> GGH</v>
      </c>
      <c r="K68" t="str">
        <f>" 6ZX26"</f>
        <v xml:space="preserve"> 6ZX26</v>
      </c>
      <c r="L68" t="str">
        <f>"1.5T F  "</f>
        <v xml:space="preserve">1.5T F  </v>
      </c>
      <c r="M68" t="str">
        <f>"1099098182          "</f>
        <v xml:space="preserve">1099098182          </v>
      </c>
    </row>
    <row r="69" spans="1:15" x14ac:dyDescent="0.2">
      <c r="A69" t="str">
        <f>"0ST"</f>
        <v>0ST</v>
      </c>
      <c r="B69" t="str">
        <f>"1MP"</f>
        <v>1MP</v>
      </c>
      <c r="C69" t="str">
        <f>"1NF"</f>
        <v>1NF</v>
      </c>
      <c r="D69" t="str">
        <f>"1SL"</f>
        <v>1SL</v>
      </c>
      <c r="E69" t="str">
        <f>"2NF"</f>
        <v>2NF</v>
      </c>
      <c r="F69" t="str">
        <f>"2ST"</f>
        <v>2ST</v>
      </c>
      <c r="G69" t="str">
        <f>"3ST"</f>
        <v>3ST</v>
      </c>
      <c r="H69" t="str">
        <f>"4NN"</f>
        <v>4NN</v>
      </c>
      <c r="I69" t="str">
        <f>"4ST"</f>
        <v>4ST</v>
      </c>
      <c r="J69" t="str">
        <f>"5A7"</f>
        <v>5A7</v>
      </c>
      <c r="K69" t="str">
        <f>"5FC"</f>
        <v>5FC</v>
      </c>
      <c r="L69" t="str">
        <f>"5ST"</f>
        <v>5ST</v>
      </c>
      <c r="M69" t="str">
        <f>"6X1"</f>
        <v>6X1</v>
      </c>
      <c r="N69" t="str">
        <f>"7X1"</f>
        <v>7X1</v>
      </c>
      <c r="O69" t="str">
        <f>"8X2"</f>
        <v>8X2</v>
      </c>
    </row>
    <row r="70" spans="1:15" x14ac:dyDescent="0.2">
      <c r="A70" t="str">
        <f>"94T"</f>
        <v>94T</v>
      </c>
      <c r="B70" t="str">
        <f>"9L3"</f>
        <v>9L3</v>
      </c>
      <c r="C70" t="str">
        <f>"9X2"</f>
        <v>9X2</v>
      </c>
      <c r="D70" t="str">
        <f>"A2X"</f>
        <v>A2X</v>
      </c>
      <c r="E70" t="str">
        <f>"A45"</f>
        <v>A45</v>
      </c>
      <c r="F70" t="str">
        <f>"A51"</f>
        <v>A51</v>
      </c>
      <c r="G70" t="str">
        <f>"A7K"</f>
        <v>A7K</v>
      </c>
      <c r="H70" t="str">
        <f>"AEF"</f>
        <v>AEF</v>
      </c>
      <c r="I70" t="str">
        <f>"AER"</f>
        <v>AER</v>
      </c>
      <c r="J70" t="str">
        <f>"AJC"</f>
        <v>AJC</v>
      </c>
      <c r="K70" t="str">
        <f>"AKO"</f>
        <v>AKO</v>
      </c>
      <c r="L70" t="str">
        <f>"AMG"</f>
        <v>AMG</v>
      </c>
      <c r="M70" t="str">
        <f>"ASV"</f>
        <v>ASV</v>
      </c>
      <c r="N70" t="str">
        <f>"ATH"</f>
        <v>ATH</v>
      </c>
      <c r="O70" t="str">
        <f>"AVK"</f>
        <v>AVK</v>
      </c>
    </row>
    <row r="71" spans="1:15" x14ac:dyDescent="0.2">
      <c r="A71" t="str">
        <f>"AVU"</f>
        <v>AVU</v>
      </c>
      <c r="B71" t="str">
        <f>"AXG"</f>
        <v>AXG</v>
      </c>
      <c r="C71" t="str">
        <f>"AXP"</f>
        <v>AXP</v>
      </c>
      <c r="D71" t="str">
        <f>"AYC"</f>
        <v>AYC</v>
      </c>
      <c r="E71" t="str">
        <f>"B3T"</f>
        <v>B3T</v>
      </c>
      <c r="F71" t="str">
        <f>"B56"</f>
        <v>B56</v>
      </c>
      <c r="G71" t="str">
        <f>"B71"</f>
        <v>B71</v>
      </c>
      <c r="H71" t="str">
        <f>"B72"</f>
        <v>B72</v>
      </c>
      <c r="I71" t="str">
        <f>"B86"</f>
        <v>B86</v>
      </c>
      <c r="J71" t="str">
        <f>"BB4"</f>
        <v>BB4</v>
      </c>
      <c r="K71" t="str">
        <f>"BGY"</f>
        <v>BGY</v>
      </c>
      <c r="L71" t="str">
        <f>"BTM"</f>
        <v>BTM</v>
      </c>
      <c r="M71" t="str">
        <f>"BTV"</f>
        <v>BTV</v>
      </c>
      <c r="N71" t="str">
        <f>"C25"</f>
        <v>C25</v>
      </c>
      <c r="O71" t="str">
        <f>"C59"</f>
        <v>C59</v>
      </c>
    </row>
    <row r="72" spans="1:15" x14ac:dyDescent="0.2">
      <c r="A72" t="str">
        <f>"C73"</f>
        <v>C73</v>
      </c>
      <c r="B72" t="str">
        <f>"CAJ"</f>
        <v>CAJ</v>
      </c>
      <c r="C72" t="str">
        <f>"CE1"</f>
        <v>CE1</v>
      </c>
      <c r="D72" t="str">
        <f>"CJ2"</f>
        <v>CJ2</v>
      </c>
      <c r="E72" t="str">
        <f>"CTS"</f>
        <v>CTS</v>
      </c>
      <c r="F72" t="str">
        <f>"CWA"</f>
        <v>CWA</v>
      </c>
      <c r="G72" t="str">
        <f>"CWH"</f>
        <v>CWH</v>
      </c>
      <c r="H72" t="str">
        <f>"CZ2"</f>
        <v>CZ2</v>
      </c>
      <c r="I72" t="str">
        <f>"D75"</f>
        <v>D75</v>
      </c>
      <c r="J72" t="str">
        <f>"DA5"</f>
        <v>DA5</v>
      </c>
      <c r="K72" t="str">
        <f>"DCP"</f>
        <v>DCP</v>
      </c>
      <c r="L72" t="str">
        <f>"DRZ"</f>
        <v>DRZ</v>
      </c>
      <c r="M72" t="str">
        <f>"DW6"</f>
        <v>DW6</v>
      </c>
      <c r="N72" t="str">
        <f>"EKG"</f>
        <v>EKG</v>
      </c>
      <c r="O72" t="str">
        <f>"ENL"</f>
        <v>ENL</v>
      </c>
    </row>
    <row r="73" spans="1:15" x14ac:dyDescent="0.2">
      <c r="A73" t="str">
        <f>"EPH"</f>
        <v>EPH</v>
      </c>
      <c r="B73" t="str">
        <f>"EWE"</f>
        <v>EWE</v>
      </c>
      <c r="C73" t="str">
        <f>"FHB"</f>
        <v>FHB</v>
      </c>
      <c r="D73" t="str">
        <f>"FHO"</f>
        <v>FHO</v>
      </c>
      <c r="E73" t="str">
        <f>"FWD"</f>
        <v>FWD</v>
      </c>
      <c r="F73" t="str">
        <f>"GGH"</f>
        <v>GGH</v>
      </c>
      <c r="G73" t="str">
        <f>"GNA"</f>
        <v>GNA</v>
      </c>
      <c r="H73" t="str">
        <f>"GNQ"</f>
        <v>GNQ</v>
      </c>
      <c r="I73" t="str">
        <f>"HD7"</f>
        <v>HD7</v>
      </c>
      <c r="J73" t="str">
        <f>"HQ3"</f>
        <v>HQ3</v>
      </c>
      <c r="K73" t="str">
        <f>"HS1"</f>
        <v>HS1</v>
      </c>
      <c r="L73" t="str">
        <f>"IKR"</f>
        <v>IKR</v>
      </c>
      <c r="M73" t="str">
        <f>"IVD"</f>
        <v>IVD</v>
      </c>
      <c r="N73" t="str">
        <f>"J17"</f>
        <v>J17</v>
      </c>
      <c r="O73" t="str">
        <f>"J23"</f>
        <v>J23</v>
      </c>
    </row>
    <row r="74" spans="1:15" x14ac:dyDescent="0.2">
      <c r="A74" t="str">
        <f>"J71"</f>
        <v>J71</v>
      </c>
      <c r="B74" t="str">
        <f>"JE0"</f>
        <v>JE0</v>
      </c>
      <c r="C74" t="str">
        <f>"JF5"</f>
        <v>JF5</v>
      </c>
      <c r="D74" t="str">
        <f>"JJ2"</f>
        <v>JJ2</v>
      </c>
      <c r="E74" t="str">
        <f>"JLA"</f>
        <v>JLA</v>
      </c>
      <c r="F74" t="str">
        <f>"JM8"</f>
        <v>JM8</v>
      </c>
      <c r="G74" t="str">
        <f>"K1O"</f>
        <v>K1O</v>
      </c>
      <c r="H74" t="str">
        <f>"K4C"</f>
        <v>K4C</v>
      </c>
      <c r="I74" t="str">
        <f>"K6L"</f>
        <v>K6L</v>
      </c>
      <c r="J74" t="str">
        <f>"KA1"</f>
        <v>KA1</v>
      </c>
      <c r="K74" t="str">
        <f>"KBC"</f>
        <v>KBC</v>
      </c>
      <c r="L74" t="str">
        <f>"KI3"</f>
        <v>KI3</v>
      </c>
      <c r="M74" t="str">
        <f>"KL9"</f>
        <v>KL9</v>
      </c>
      <c r="N74" t="str">
        <f>"KSG"</f>
        <v>KSG</v>
      </c>
      <c r="O74" t="str">
        <f>"KU9"</f>
        <v>KU9</v>
      </c>
    </row>
    <row r="75" spans="1:15" x14ac:dyDescent="0.2">
      <c r="A75" t="str">
        <f>"LAH"</f>
        <v>LAH</v>
      </c>
      <c r="B75" t="str">
        <f>"LHD"</f>
        <v>LHD</v>
      </c>
      <c r="C75" t="str">
        <f>"M3H"</f>
        <v>M3H</v>
      </c>
      <c r="D75" t="str">
        <f>"MAO"</f>
        <v>MAO</v>
      </c>
      <c r="E75" t="str">
        <f>"MFI"</f>
        <v>MFI</v>
      </c>
      <c r="F75" t="str">
        <f>"MM1"</f>
        <v>MM1</v>
      </c>
      <c r="G75" t="str">
        <f>"N08"</f>
        <v>N08</v>
      </c>
      <c r="H75" t="str">
        <f>"N2D"</f>
        <v>N2D</v>
      </c>
      <c r="I75" t="str">
        <f>"N37"</f>
        <v>N37</v>
      </c>
      <c r="J75" t="str">
        <f>"N5L"</f>
        <v>N5L</v>
      </c>
      <c r="K75" t="str">
        <f>"NAM"</f>
        <v>NAM</v>
      </c>
      <c r="L75" t="str">
        <f>"ND8"</f>
        <v>ND8</v>
      </c>
      <c r="M75" t="str">
        <f>"NFD"</f>
        <v>NFD</v>
      </c>
      <c r="N75" t="str">
        <f>"NKC"</f>
        <v>NKC</v>
      </c>
      <c r="O75" t="str">
        <f>"NKD"</f>
        <v>NKD</v>
      </c>
    </row>
    <row r="76" spans="1:15" x14ac:dyDescent="0.2">
      <c r="A76" t="str">
        <f>"PAP"</f>
        <v>PAP</v>
      </c>
      <c r="B76" t="str">
        <f>"PPW"</f>
        <v>PPW</v>
      </c>
      <c r="C76" t="str">
        <f>"PS4"</f>
        <v>PS4</v>
      </c>
      <c r="D76" t="str">
        <f>"PXX"</f>
        <v>PXX</v>
      </c>
      <c r="E76" t="str">
        <f>"Q2T"</f>
        <v>Q2T</v>
      </c>
      <c r="F76" t="str">
        <f>"RSR"</f>
        <v>RSR</v>
      </c>
      <c r="G76" t="str">
        <f>"T4L"</f>
        <v>T4L</v>
      </c>
      <c r="H76" t="str">
        <f>"T79"</f>
        <v>T79</v>
      </c>
      <c r="I76" t="str">
        <f>"T7E"</f>
        <v>T7E</v>
      </c>
      <c r="J76" t="str">
        <f>"T87"</f>
        <v>T87</v>
      </c>
      <c r="K76" t="str">
        <f>"TB5"</f>
        <v>TB5</v>
      </c>
      <c r="L76" t="str">
        <f>"TB8"</f>
        <v>TB8</v>
      </c>
      <c r="M76" t="str">
        <f>"TD1"</f>
        <v>TD1</v>
      </c>
      <c r="N76" t="str">
        <f>"TDC"</f>
        <v>TDC</v>
      </c>
      <c r="O76" t="str">
        <f>"TFK"</f>
        <v>TFK</v>
      </c>
    </row>
    <row r="77" spans="1:15" x14ac:dyDescent="0.2">
      <c r="A77" t="str">
        <f>"TQ5"</f>
        <v>TQ5</v>
      </c>
      <c r="B77" t="str">
        <f>"TR6"</f>
        <v>TR6</v>
      </c>
      <c r="C77" t="str">
        <f>"TSQ"</f>
        <v>TSQ</v>
      </c>
      <c r="D77" t="str">
        <f>"TTW"</f>
        <v>TTW</v>
      </c>
      <c r="E77" t="str">
        <f>"U18"</f>
        <v>U18</v>
      </c>
      <c r="F77" t="str">
        <f>"UB3"</f>
        <v>UB3</v>
      </c>
      <c r="G77" t="str">
        <f>"UBD"</f>
        <v>UBD</v>
      </c>
      <c r="H77" t="str">
        <f>"UBI"</f>
        <v>UBI</v>
      </c>
      <c r="I77" t="str">
        <f>"UD5"</f>
        <v>UD5</v>
      </c>
      <c r="J77" t="str">
        <f>"UE1"</f>
        <v>UE1</v>
      </c>
      <c r="K77" t="str">
        <f>"UE4"</f>
        <v>UE4</v>
      </c>
      <c r="L77" t="str">
        <f>"UEC"</f>
        <v>UEC</v>
      </c>
      <c r="M77" t="str">
        <f>"UEN"</f>
        <v>UEN</v>
      </c>
      <c r="N77" t="str">
        <f>"UEU"</f>
        <v>UEU</v>
      </c>
      <c r="O77" t="str">
        <f>"UFG"</f>
        <v>UFG</v>
      </c>
    </row>
    <row r="78" spans="1:15" x14ac:dyDescent="0.2">
      <c r="A78" t="str">
        <f>"UGE"</f>
        <v>UGE</v>
      </c>
      <c r="B78" t="str">
        <f>"UGN"</f>
        <v>UGN</v>
      </c>
      <c r="C78" t="str">
        <f>"UHG"</f>
        <v>UHG</v>
      </c>
      <c r="D78" t="str">
        <f>"UHH"</f>
        <v>UHH</v>
      </c>
      <c r="E78" t="str">
        <f>"UHO"</f>
        <v>UHO</v>
      </c>
      <c r="F78" t="str">
        <f>"UHX"</f>
        <v>UHX</v>
      </c>
      <c r="G78" t="str">
        <f>"UJN"</f>
        <v>UJN</v>
      </c>
      <c r="H78" t="str">
        <f>"UKI"</f>
        <v>UKI</v>
      </c>
      <c r="I78" t="str">
        <f>"UKT"</f>
        <v>UKT</v>
      </c>
      <c r="J78" t="str">
        <f>"UL5"</f>
        <v>UL5</v>
      </c>
      <c r="K78" t="str">
        <f>"UQS"</f>
        <v>UQS</v>
      </c>
      <c r="L78" t="str">
        <f>"URB"</f>
        <v>URB</v>
      </c>
      <c r="M78" t="str">
        <f>"URT"</f>
        <v>URT</v>
      </c>
      <c r="N78" t="str">
        <f>"UV6"</f>
        <v>UV6</v>
      </c>
      <c r="O78" t="str">
        <f>"UVX"</f>
        <v>UVX</v>
      </c>
    </row>
    <row r="79" spans="1:15" x14ac:dyDescent="0.2">
      <c r="A79" t="str">
        <f>"UXP"</f>
        <v>UXP</v>
      </c>
      <c r="B79" t="str">
        <f>"V5H"</f>
        <v>V5H</v>
      </c>
      <c r="C79" t="str">
        <f>"V76"</f>
        <v>V76</v>
      </c>
      <c r="D79" t="str">
        <f>"V86"</f>
        <v>V86</v>
      </c>
      <c r="E79" t="str">
        <f>"VA3"</f>
        <v>VA3</v>
      </c>
      <c r="F79" t="str">
        <f>"VDZ"</f>
        <v>VDZ</v>
      </c>
      <c r="G79" t="str">
        <f>"VH9"</f>
        <v>VH9</v>
      </c>
      <c r="H79" t="str">
        <f>"VLF"</f>
        <v>VLF</v>
      </c>
      <c r="I79" t="str">
        <f>"VRF"</f>
        <v>VRF</v>
      </c>
      <c r="J79" t="str">
        <f>"VRG"</f>
        <v>VRG</v>
      </c>
      <c r="K79" t="str">
        <f>"VRH"</f>
        <v>VRH</v>
      </c>
      <c r="L79" t="str">
        <f>"VRJ"</f>
        <v>VRJ</v>
      </c>
      <c r="M79" t="str">
        <f>"VRK"</f>
        <v>VRK</v>
      </c>
      <c r="N79" t="str">
        <f>"VRL"</f>
        <v>VRL</v>
      </c>
      <c r="O79" t="str">
        <f>"VRM"</f>
        <v>VRM</v>
      </c>
    </row>
    <row r="80" spans="1:15" x14ac:dyDescent="0.2">
      <c r="A80" t="str">
        <f>"VRN"</f>
        <v>VRN</v>
      </c>
      <c r="B80" t="str">
        <f>"VRR"</f>
        <v>VRR</v>
      </c>
      <c r="C80" t="str">
        <f>"VTI"</f>
        <v>VTI</v>
      </c>
      <c r="D80" t="str">
        <f>"VV4"</f>
        <v>VV4</v>
      </c>
      <c r="E80" t="str">
        <f>"WMX"</f>
        <v>WMX</v>
      </c>
      <c r="F80" t="str">
        <f>"XL8"</f>
        <v>XL8</v>
      </c>
      <c r="G80" t="str">
        <f>"Y7C"</f>
        <v>Y7C</v>
      </c>
      <c r="H80" t="str">
        <f>"ZN2"</f>
        <v>ZN2</v>
      </c>
      <c r="I80" t="str">
        <f>"ZRE"</f>
        <v>ZRE</v>
      </c>
    </row>
    <row r="81" spans="1:15" x14ac:dyDescent="0.2">
      <c r="A81" t="str">
        <f>"7"</f>
        <v>7</v>
      </c>
      <c r="B81" t="str">
        <f>"1SS3012509 "</f>
        <v xml:space="preserve">1SS3012509 </v>
      </c>
      <c r="C81" t="str">
        <f>"05"</f>
        <v>05</v>
      </c>
      <c r="D81" t="str">
        <f>"221226"</f>
        <v>221226</v>
      </c>
      <c r="E81" t="str">
        <f>"231706503"</f>
        <v>231706503</v>
      </c>
      <c r="F81" t="str">
        <f>"LSGZV83L2PD083614"</f>
        <v>LSGZV83L2PD083614</v>
      </c>
      <c r="G81" t="str">
        <f>"9Q64    "</f>
        <v xml:space="preserve">9Q64    </v>
      </c>
      <c r="H81" t="str">
        <f>"OS1     "</f>
        <v xml:space="preserve">OS1     </v>
      </c>
      <c r="I81" t="str">
        <f>"2       "</f>
        <v xml:space="preserve">2       </v>
      </c>
      <c r="J81" t="str">
        <f>" GE8"</f>
        <v xml:space="preserve"> GE8</v>
      </c>
      <c r="K81" t="str">
        <f>" 6ZY26"</f>
        <v xml:space="preserve"> 6ZY26</v>
      </c>
      <c r="L81" t="str">
        <f>"2.0T A  "</f>
        <v xml:space="preserve">2.0T A  </v>
      </c>
      <c r="M81" t="str">
        <f>"1099098183          "</f>
        <v xml:space="preserve">1099098183          </v>
      </c>
    </row>
    <row r="82" spans="1:15" x14ac:dyDescent="0.2">
      <c r="A82" t="str">
        <f>"0ST"</f>
        <v>0ST</v>
      </c>
      <c r="B82" t="str">
        <f>"1MP"</f>
        <v>1MP</v>
      </c>
      <c r="C82" t="str">
        <f>"1NF"</f>
        <v>1NF</v>
      </c>
      <c r="D82" t="str">
        <f>"1SM"</f>
        <v>1SM</v>
      </c>
      <c r="E82" t="str">
        <f>"2NF"</f>
        <v>2NF</v>
      </c>
      <c r="F82" t="str">
        <f>"2ST"</f>
        <v>2ST</v>
      </c>
      <c r="G82" t="str">
        <f>"3ST"</f>
        <v>3ST</v>
      </c>
      <c r="H82" t="str">
        <f>"4NN"</f>
        <v>4NN</v>
      </c>
      <c r="I82" t="str">
        <f>"4ST"</f>
        <v>4ST</v>
      </c>
      <c r="J82" t="str">
        <f>"5A7"</f>
        <v>5A7</v>
      </c>
      <c r="K82" t="str">
        <f>"5FC"</f>
        <v>5FC</v>
      </c>
      <c r="L82" t="str">
        <f>"5ST"</f>
        <v>5ST</v>
      </c>
      <c r="M82" t="str">
        <f>"6X1"</f>
        <v>6X1</v>
      </c>
      <c r="N82" t="str">
        <f>"7X1"</f>
        <v>7X1</v>
      </c>
      <c r="O82" t="str">
        <f>"8X2"</f>
        <v>8X2</v>
      </c>
    </row>
    <row r="83" spans="1:15" x14ac:dyDescent="0.2">
      <c r="A83" t="str">
        <f>"94T"</f>
        <v>94T</v>
      </c>
      <c r="B83" t="str">
        <f>"9L3"</f>
        <v>9L3</v>
      </c>
      <c r="C83" t="str">
        <f>"9X2"</f>
        <v>9X2</v>
      </c>
      <c r="D83" t="str">
        <f>"A2X"</f>
        <v>A2X</v>
      </c>
      <c r="E83" t="str">
        <f>"A45"</f>
        <v>A45</v>
      </c>
      <c r="F83" t="str">
        <f>"A51"</f>
        <v>A51</v>
      </c>
      <c r="G83" t="str">
        <f>"A7K"</f>
        <v>A7K</v>
      </c>
      <c r="H83" t="str">
        <f>"AEF"</f>
        <v>AEF</v>
      </c>
      <c r="I83" t="str">
        <f>"AER"</f>
        <v>AER</v>
      </c>
      <c r="J83" t="str">
        <f>"AJC"</f>
        <v>AJC</v>
      </c>
      <c r="K83" t="str">
        <f>"AKO"</f>
        <v>AKO</v>
      </c>
      <c r="L83" t="str">
        <f>"AMG"</f>
        <v>AMG</v>
      </c>
      <c r="M83" t="str">
        <f>"ASV"</f>
        <v>ASV</v>
      </c>
      <c r="N83" t="str">
        <f>"ATH"</f>
        <v>ATH</v>
      </c>
      <c r="O83" t="str">
        <f>"AVK"</f>
        <v>AVK</v>
      </c>
    </row>
    <row r="84" spans="1:15" x14ac:dyDescent="0.2">
      <c r="A84" t="str">
        <f>"AVU"</f>
        <v>AVU</v>
      </c>
      <c r="B84" t="str">
        <f>"AXG"</f>
        <v>AXG</v>
      </c>
      <c r="C84" t="str">
        <f>"AXP"</f>
        <v>AXP</v>
      </c>
      <c r="D84" t="str">
        <f>"AYC"</f>
        <v>AYC</v>
      </c>
      <c r="E84" t="str">
        <f>"B3T"</f>
        <v>B3T</v>
      </c>
      <c r="F84" t="str">
        <f>"B56"</f>
        <v>B56</v>
      </c>
      <c r="G84" t="str">
        <f>"B71"</f>
        <v>B71</v>
      </c>
      <c r="H84" t="str">
        <f>"B72"</f>
        <v>B72</v>
      </c>
      <c r="I84" t="str">
        <f>"B86"</f>
        <v>B86</v>
      </c>
      <c r="J84" t="str">
        <f>"BB4"</f>
        <v>BB4</v>
      </c>
      <c r="K84" t="str">
        <f>"BGY"</f>
        <v>BGY</v>
      </c>
      <c r="L84" t="str">
        <f>"BTM"</f>
        <v>BTM</v>
      </c>
      <c r="M84" t="str">
        <f>"BTV"</f>
        <v>BTV</v>
      </c>
      <c r="N84" t="str">
        <f>"C25"</f>
        <v>C25</v>
      </c>
      <c r="O84" t="str">
        <f>"C3M"</f>
        <v>C3M</v>
      </c>
    </row>
    <row r="85" spans="1:15" x14ac:dyDescent="0.2">
      <c r="A85" t="str">
        <f>"C59"</f>
        <v>C59</v>
      </c>
      <c r="B85" t="str">
        <f>"C73"</f>
        <v>C73</v>
      </c>
      <c r="C85" t="str">
        <f>"CAJ"</f>
        <v>CAJ</v>
      </c>
      <c r="D85" t="str">
        <f>"CE1"</f>
        <v>CE1</v>
      </c>
      <c r="E85" t="str">
        <f>"CJ2"</f>
        <v>CJ2</v>
      </c>
      <c r="F85" t="str">
        <f>"CTS"</f>
        <v>CTS</v>
      </c>
      <c r="G85" t="str">
        <f>"CWA"</f>
        <v>CWA</v>
      </c>
      <c r="H85" t="str">
        <f>"CWH"</f>
        <v>CWH</v>
      </c>
      <c r="I85" t="str">
        <f>"CZ2"</f>
        <v>CZ2</v>
      </c>
      <c r="J85" t="str">
        <f>"D75"</f>
        <v>D75</v>
      </c>
      <c r="K85" t="str">
        <f>"DA5"</f>
        <v>DA5</v>
      </c>
      <c r="L85" t="str">
        <f>"DCP"</f>
        <v>DCP</v>
      </c>
      <c r="M85" t="str">
        <f>"DRZ"</f>
        <v>DRZ</v>
      </c>
      <c r="N85" t="str">
        <f>"DW6"</f>
        <v>DW6</v>
      </c>
      <c r="O85" t="str">
        <f>"EKN"</f>
        <v>EKN</v>
      </c>
    </row>
    <row r="86" spans="1:15" x14ac:dyDescent="0.2">
      <c r="A86" t="str">
        <f>"ENL"</f>
        <v>ENL</v>
      </c>
      <c r="B86" t="str">
        <f>"EPH"</f>
        <v>EPH</v>
      </c>
      <c r="C86" t="str">
        <f>"EWE"</f>
        <v>EWE</v>
      </c>
      <c r="D86" t="str">
        <f>"F48"</f>
        <v>F48</v>
      </c>
      <c r="E86" t="str">
        <f>"FHB"</f>
        <v>FHB</v>
      </c>
      <c r="F86" t="str">
        <f>"FHO"</f>
        <v>FHO</v>
      </c>
      <c r="G86" t="str">
        <f>"G99"</f>
        <v>G99</v>
      </c>
      <c r="H86" t="str">
        <f>"GE8"</f>
        <v>GE8</v>
      </c>
      <c r="I86" t="str">
        <f>"GNA"</f>
        <v>GNA</v>
      </c>
      <c r="J86" t="str">
        <f>"GNQ"</f>
        <v>GNQ</v>
      </c>
      <c r="K86" t="str">
        <f>"HD7"</f>
        <v>HD7</v>
      </c>
      <c r="L86" t="str">
        <f>"HQ3"</f>
        <v>HQ3</v>
      </c>
      <c r="M86" t="str">
        <f>"HS1"</f>
        <v>HS1</v>
      </c>
      <c r="N86" t="str">
        <f>"IKR"</f>
        <v>IKR</v>
      </c>
      <c r="O86" t="str">
        <f>"IVD"</f>
        <v>IVD</v>
      </c>
    </row>
    <row r="87" spans="1:15" x14ac:dyDescent="0.2">
      <c r="A87" t="str">
        <f>"J23"</f>
        <v>J23</v>
      </c>
      <c r="B87" t="str">
        <f>"J6F"</f>
        <v>J6F</v>
      </c>
      <c r="C87" t="str">
        <f>"J71"</f>
        <v>J71</v>
      </c>
      <c r="D87" t="str">
        <f>"JE0"</f>
        <v>JE0</v>
      </c>
      <c r="E87" t="str">
        <f>"JF5"</f>
        <v>JF5</v>
      </c>
      <c r="F87" t="str">
        <f>"JJ2"</f>
        <v>JJ2</v>
      </c>
      <c r="G87" t="str">
        <f>"JM8"</f>
        <v>JM8</v>
      </c>
      <c r="H87" t="str">
        <f>"JQ5"</f>
        <v>JQ5</v>
      </c>
      <c r="I87" t="str">
        <f>"K1O"</f>
        <v>K1O</v>
      </c>
      <c r="J87" t="str">
        <f>"K4C"</f>
        <v>K4C</v>
      </c>
      <c r="K87" t="str">
        <f>"K6L"</f>
        <v>K6L</v>
      </c>
      <c r="L87" t="str">
        <f>"KA1"</f>
        <v>KA1</v>
      </c>
      <c r="M87" t="str">
        <f>"KB7"</f>
        <v>KB7</v>
      </c>
      <c r="N87" t="str">
        <f>"KI3"</f>
        <v>KI3</v>
      </c>
      <c r="O87" t="str">
        <f>"KL9"</f>
        <v>KL9</v>
      </c>
    </row>
    <row r="88" spans="1:15" x14ac:dyDescent="0.2">
      <c r="A88" t="str">
        <f>"KSG"</f>
        <v>KSG</v>
      </c>
      <c r="B88" t="str">
        <f>"KU9"</f>
        <v>KU9</v>
      </c>
      <c r="C88" t="str">
        <f>"LHD"</f>
        <v>LHD</v>
      </c>
      <c r="D88" t="str">
        <f>"LXH"</f>
        <v>LXH</v>
      </c>
      <c r="E88" t="str">
        <f>"M3H"</f>
        <v>M3H</v>
      </c>
      <c r="F88" t="str">
        <f>"MAO"</f>
        <v>MAO</v>
      </c>
      <c r="G88" t="str">
        <f>"MFI"</f>
        <v>MFI</v>
      </c>
      <c r="H88" t="str">
        <f>"MM1"</f>
        <v>MM1</v>
      </c>
      <c r="I88" t="str">
        <f>"N08"</f>
        <v>N08</v>
      </c>
      <c r="J88" t="str">
        <f>"N2D"</f>
        <v>N2D</v>
      </c>
      <c r="K88" t="str">
        <f>"N37"</f>
        <v>N37</v>
      </c>
      <c r="L88" t="str">
        <f>"N5L"</f>
        <v>N5L</v>
      </c>
      <c r="M88" t="str">
        <f>"NAM"</f>
        <v>NAM</v>
      </c>
      <c r="N88" t="str">
        <f>"ND8"</f>
        <v>ND8</v>
      </c>
      <c r="O88" t="str">
        <f>"NFD"</f>
        <v>NFD</v>
      </c>
    </row>
    <row r="89" spans="1:15" x14ac:dyDescent="0.2">
      <c r="A89" t="str">
        <f>"NKC"</f>
        <v>NKC</v>
      </c>
      <c r="B89" t="str">
        <f>"NKD"</f>
        <v>NKD</v>
      </c>
      <c r="C89" t="str">
        <f>"PAP"</f>
        <v>PAP</v>
      </c>
      <c r="D89" t="str">
        <f>"PPW"</f>
        <v>PPW</v>
      </c>
      <c r="E89" t="str">
        <f>"PS4"</f>
        <v>PS4</v>
      </c>
      <c r="F89" t="str">
        <f>"Q2T"</f>
        <v>Q2T</v>
      </c>
      <c r="G89" t="str">
        <f>"REH"</f>
        <v>REH</v>
      </c>
      <c r="H89" t="str">
        <f>"RSR"</f>
        <v>RSR</v>
      </c>
      <c r="I89" t="str">
        <f>"T4L"</f>
        <v>T4L</v>
      </c>
      <c r="J89" t="str">
        <f>"T79"</f>
        <v>T79</v>
      </c>
      <c r="K89" t="str">
        <f>"T7E"</f>
        <v>T7E</v>
      </c>
      <c r="L89" t="str">
        <f>"T87"</f>
        <v>T87</v>
      </c>
      <c r="M89" t="str">
        <f>"TB5"</f>
        <v>TB5</v>
      </c>
      <c r="N89" t="str">
        <f>"TB8"</f>
        <v>TB8</v>
      </c>
      <c r="O89" t="str">
        <f>"TD1"</f>
        <v>TD1</v>
      </c>
    </row>
    <row r="90" spans="1:15" x14ac:dyDescent="0.2">
      <c r="A90" t="str">
        <f>"TDC"</f>
        <v>TDC</v>
      </c>
      <c r="B90" t="str">
        <f>"TFK"</f>
        <v>TFK</v>
      </c>
      <c r="C90" t="str">
        <f>"TQ5"</f>
        <v>TQ5</v>
      </c>
      <c r="D90" t="str">
        <f>"TR6"</f>
        <v>TR6</v>
      </c>
      <c r="E90" t="str">
        <f>"TSQ"</f>
        <v>TSQ</v>
      </c>
      <c r="F90" t="str">
        <f>"TTW"</f>
        <v>TTW</v>
      </c>
      <c r="G90" t="str">
        <f>"U18"</f>
        <v>U18</v>
      </c>
      <c r="H90" t="str">
        <f>"UB3"</f>
        <v>UB3</v>
      </c>
      <c r="I90" t="str">
        <f>"UBD"</f>
        <v>UBD</v>
      </c>
      <c r="J90" t="str">
        <f>"UBI"</f>
        <v>UBI</v>
      </c>
      <c r="K90" t="str">
        <f>"UD5"</f>
        <v>UD5</v>
      </c>
      <c r="L90" t="str">
        <f>"UE1"</f>
        <v>UE1</v>
      </c>
      <c r="M90" t="str">
        <f>"UE4"</f>
        <v>UE4</v>
      </c>
      <c r="N90" t="str">
        <f>"UEC"</f>
        <v>UEC</v>
      </c>
      <c r="O90" t="str">
        <f>"UEN"</f>
        <v>UEN</v>
      </c>
    </row>
    <row r="91" spans="1:15" x14ac:dyDescent="0.2">
      <c r="A91" t="str">
        <f>"UEU"</f>
        <v>UEU</v>
      </c>
      <c r="B91" t="str">
        <f>"UFG"</f>
        <v>UFG</v>
      </c>
      <c r="C91" t="str">
        <f>"UGE"</f>
        <v>UGE</v>
      </c>
      <c r="D91" t="str">
        <f>"UGN"</f>
        <v>UGN</v>
      </c>
      <c r="E91" t="str">
        <f>"UHG"</f>
        <v>UHG</v>
      </c>
      <c r="F91" t="str">
        <f>"UHH"</f>
        <v>UHH</v>
      </c>
      <c r="G91" t="str">
        <f>"UHO"</f>
        <v>UHO</v>
      </c>
      <c r="H91" t="str">
        <f>"UHX"</f>
        <v>UHX</v>
      </c>
      <c r="I91" t="str">
        <f>"UJN"</f>
        <v>UJN</v>
      </c>
      <c r="J91" t="str">
        <f>"UKI"</f>
        <v>UKI</v>
      </c>
      <c r="K91" t="str">
        <f>"UKT"</f>
        <v>UKT</v>
      </c>
      <c r="L91" t="str">
        <f>"UL5"</f>
        <v>UL5</v>
      </c>
      <c r="M91" t="str">
        <f>"UQS"</f>
        <v>UQS</v>
      </c>
      <c r="N91" t="str">
        <f>"URB"</f>
        <v>URB</v>
      </c>
      <c r="O91" t="str">
        <f>"URT"</f>
        <v>URT</v>
      </c>
    </row>
    <row r="92" spans="1:15" x14ac:dyDescent="0.2">
      <c r="A92" t="str">
        <f>"UV6"</f>
        <v>UV6</v>
      </c>
      <c r="B92" t="str">
        <f>"UVX"</f>
        <v>UVX</v>
      </c>
      <c r="C92" t="str">
        <f>"UXP"</f>
        <v>UXP</v>
      </c>
      <c r="D92" t="str">
        <f>"V5H"</f>
        <v>V5H</v>
      </c>
      <c r="E92" t="str">
        <f>"V76"</f>
        <v>V76</v>
      </c>
      <c r="F92" t="str">
        <f>"V86"</f>
        <v>V86</v>
      </c>
      <c r="G92" t="str">
        <f>"VA3"</f>
        <v>VA3</v>
      </c>
      <c r="H92" t="str">
        <f>"VDZ"</f>
        <v>VDZ</v>
      </c>
      <c r="I92" t="str">
        <f>"VH9"</f>
        <v>VH9</v>
      </c>
      <c r="J92" t="str">
        <f>"VLF"</f>
        <v>VLF</v>
      </c>
      <c r="K92" t="str">
        <f>"VRF"</f>
        <v>VRF</v>
      </c>
      <c r="L92" t="str">
        <f>"VRG"</f>
        <v>VRG</v>
      </c>
      <c r="M92" t="str">
        <f>"VRH"</f>
        <v>VRH</v>
      </c>
      <c r="N92" t="str">
        <f>"VRJ"</f>
        <v>VRJ</v>
      </c>
      <c r="O92" t="str">
        <f>"VRK"</f>
        <v>VRK</v>
      </c>
    </row>
    <row r="93" spans="1:15" x14ac:dyDescent="0.2">
      <c r="A93" t="str">
        <f>"VRL"</f>
        <v>VRL</v>
      </c>
      <c r="B93" t="str">
        <f>"VRM"</f>
        <v>VRM</v>
      </c>
      <c r="C93" t="str">
        <f>"VRN"</f>
        <v>VRN</v>
      </c>
      <c r="D93" t="str">
        <f>"VRR"</f>
        <v>VRR</v>
      </c>
      <c r="E93" t="str">
        <f>"VTI"</f>
        <v>VTI</v>
      </c>
      <c r="F93" t="str">
        <f>"VV4"</f>
        <v>VV4</v>
      </c>
      <c r="G93" t="str">
        <f>"WF9"</f>
        <v>WF9</v>
      </c>
      <c r="H93" t="str">
        <f>"WMX"</f>
        <v>WMX</v>
      </c>
      <c r="I93" t="str">
        <f>"XL8"</f>
        <v>XL8</v>
      </c>
      <c r="J93" t="str">
        <f>"Y7C"</f>
        <v>Y7C</v>
      </c>
      <c r="K93" t="str">
        <f>"ZN2"</f>
        <v>ZN2</v>
      </c>
      <c r="L93" t="str">
        <f>"ZRE"</f>
        <v>ZRE</v>
      </c>
    </row>
    <row r="94" spans="1:15" x14ac:dyDescent="0.2">
      <c r="A94" t="str">
        <f>"8"</f>
        <v>8</v>
      </c>
      <c r="B94" t="str">
        <f>"1SS3012510 "</f>
        <v xml:space="preserve">1SS3012510 </v>
      </c>
      <c r="C94" t="str">
        <f>"05"</f>
        <v>05</v>
      </c>
      <c r="D94" t="str">
        <f>"221226"</f>
        <v>221226</v>
      </c>
      <c r="E94" t="str">
        <f>"231706504"</f>
        <v>231706504</v>
      </c>
      <c r="F94" t="str">
        <f>"LSGZV83L4PD083615"</f>
        <v>LSGZV83L4PD083615</v>
      </c>
      <c r="G94" t="str">
        <f>"9Q64    "</f>
        <v xml:space="preserve">9Q64    </v>
      </c>
      <c r="H94" t="str">
        <f>"OS1     "</f>
        <v xml:space="preserve">OS1     </v>
      </c>
      <c r="I94" t="str">
        <f>"2       "</f>
        <v xml:space="preserve">2       </v>
      </c>
      <c r="J94" t="str">
        <f>" GGH"</f>
        <v xml:space="preserve"> GGH</v>
      </c>
      <c r="K94" t="str">
        <f>" 6ZY26"</f>
        <v xml:space="preserve"> 6ZY26</v>
      </c>
      <c r="L94" t="str">
        <f>"2.0T A  "</f>
        <v xml:space="preserve">2.0T A  </v>
      </c>
      <c r="M94" t="str">
        <f>"1099098184          "</f>
        <v xml:space="preserve">1099098184          </v>
      </c>
    </row>
    <row r="95" spans="1:15" x14ac:dyDescent="0.2">
      <c r="A95" t="str">
        <f>"0ST"</f>
        <v>0ST</v>
      </c>
      <c r="B95" t="str">
        <f>"1MP"</f>
        <v>1MP</v>
      </c>
      <c r="C95" t="str">
        <f>"1NF"</f>
        <v>1NF</v>
      </c>
      <c r="D95" t="str">
        <f>"1SM"</f>
        <v>1SM</v>
      </c>
      <c r="E95" t="str">
        <f>"2NF"</f>
        <v>2NF</v>
      </c>
      <c r="F95" t="str">
        <f>"2ST"</f>
        <v>2ST</v>
      </c>
      <c r="G95" t="str">
        <f>"3ST"</f>
        <v>3ST</v>
      </c>
      <c r="H95" t="str">
        <f>"4NN"</f>
        <v>4NN</v>
      </c>
      <c r="I95" t="str">
        <f>"4ST"</f>
        <v>4ST</v>
      </c>
      <c r="J95" t="str">
        <f>"5A7"</f>
        <v>5A7</v>
      </c>
      <c r="K95" t="str">
        <f>"5FC"</f>
        <v>5FC</v>
      </c>
      <c r="L95" t="str">
        <f>"5ST"</f>
        <v>5ST</v>
      </c>
      <c r="M95" t="str">
        <f>"6X1"</f>
        <v>6X1</v>
      </c>
      <c r="N95" t="str">
        <f>"7X1"</f>
        <v>7X1</v>
      </c>
      <c r="O95" t="str">
        <f>"8X2"</f>
        <v>8X2</v>
      </c>
    </row>
    <row r="96" spans="1:15" x14ac:dyDescent="0.2">
      <c r="A96" t="str">
        <f>"94T"</f>
        <v>94T</v>
      </c>
      <c r="B96" t="str">
        <f>"9L3"</f>
        <v>9L3</v>
      </c>
      <c r="C96" t="str">
        <f>"9X2"</f>
        <v>9X2</v>
      </c>
      <c r="D96" t="str">
        <f>"A2X"</f>
        <v>A2X</v>
      </c>
      <c r="E96" t="str">
        <f>"A45"</f>
        <v>A45</v>
      </c>
      <c r="F96" t="str">
        <f>"A51"</f>
        <v>A51</v>
      </c>
      <c r="G96" t="str">
        <f>"A7K"</f>
        <v>A7K</v>
      </c>
      <c r="H96" t="str">
        <f>"AEF"</f>
        <v>AEF</v>
      </c>
      <c r="I96" t="str">
        <f>"AER"</f>
        <v>AER</v>
      </c>
      <c r="J96" t="str">
        <f>"AJC"</f>
        <v>AJC</v>
      </c>
      <c r="K96" t="str">
        <f>"AKO"</f>
        <v>AKO</v>
      </c>
      <c r="L96" t="str">
        <f>"AMG"</f>
        <v>AMG</v>
      </c>
      <c r="M96" t="str">
        <f>"ASV"</f>
        <v>ASV</v>
      </c>
      <c r="N96" t="str">
        <f>"ATH"</f>
        <v>ATH</v>
      </c>
      <c r="O96" t="str">
        <f>"AVK"</f>
        <v>AVK</v>
      </c>
    </row>
    <row r="97" spans="1:15" x14ac:dyDescent="0.2">
      <c r="A97" t="str">
        <f>"AVU"</f>
        <v>AVU</v>
      </c>
      <c r="B97" t="str">
        <f>"AXG"</f>
        <v>AXG</v>
      </c>
      <c r="C97" t="str">
        <f>"AXP"</f>
        <v>AXP</v>
      </c>
      <c r="D97" t="str">
        <f>"AYC"</f>
        <v>AYC</v>
      </c>
      <c r="E97" t="str">
        <f>"B3T"</f>
        <v>B3T</v>
      </c>
      <c r="F97" t="str">
        <f>"B56"</f>
        <v>B56</v>
      </c>
      <c r="G97" t="str">
        <f>"B71"</f>
        <v>B71</v>
      </c>
      <c r="H97" t="str">
        <f>"B72"</f>
        <v>B72</v>
      </c>
      <c r="I97" t="str">
        <f>"B86"</f>
        <v>B86</v>
      </c>
      <c r="J97" t="str">
        <f>"BB4"</f>
        <v>BB4</v>
      </c>
      <c r="K97" t="str">
        <f>"BGY"</f>
        <v>BGY</v>
      </c>
      <c r="L97" t="str">
        <f>"BTM"</f>
        <v>BTM</v>
      </c>
      <c r="M97" t="str">
        <f>"BTV"</f>
        <v>BTV</v>
      </c>
      <c r="N97" t="str">
        <f>"C25"</f>
        <v>C25</v>
      </c>
      <c r="O97" t="str">
        <f>"C3M"</f>
        <v>C3M</v>
      </c>
    </row>
    <row r="98" spans="1:15" x14ac:dyDescent="0.2">
      <c r="A98" t="str">
        <f>"C59"</f>
        <v>C59</v>
      </c>
      <c r="B98" t="str">
        <f>"C73"</f>
        <v>C73</v>
      </c>
      <c r="C98" t="str">
        <f>"CAJ"</f>
        <v>CAJ</v>
      </c>
      <c r="D98" t="str">
        <f>"CE1"</f>
        <v>CE1</v>
      </c>
      <c r="E98" t="str">
        <f>"CJ2"</f>
        <v>CJ2</v>
      </c>
      <c r="F98" t="str">
        <f>"CTS"</f>
        <v>CTS</v>
      </c>
      <c r="G98" t="str">
        <f>"CWA"</f>
        <v>CWA</v>
      </c>
      <c r="H98" t="str">
        <f>"CWH"</f>
        <v>CWH</v>
      </c>
      <c r="I98" t="str">
        <f>"CZ2"</f>
        <v>CZ2</v>
      </c>
      <c r="J98" t="str">
        <f>"D75"</f>
        <v>D75</v>
      </c>
      <c r="K98" t="str">
        <f>"DA5"</f>
        <v>DA5</v>
      </c>
      <c r="L98" t="str">
        <f>"DCP"</f>
        <v>DCP</v>
      </c>
      <c r="M98" t="str">
        <f>"DRZ"</f>
        <v>DRZ</v>
      </c>
      <c r="N98" t="str">
        <f>"DW6"</f>
        <v>DW6</v>
      </c>
      <c r="O98" t="str">
        <f>"EKN"</f>
        <v>EKN</v>
      </c>
    </row>
    <row r="99" spans="1:15" x14ac:dyDescent="0.2">
      <c r="A99" t="str">
        <f>"ENL"</f>
        <v>ENL</v>
      </c>
      <c r="B99" t="str">
        <f>"EPH"</f>
        <v>EPH</v>
      </c>
      <c r="C99" t="str">
        <f>"EWE"</f>
        <v>EWE</v>
      </c>
      <c r="D99" t="str">
        <f>"F48"</f>
        <v>F48</v>
      </c>
      <c r="E99" t="str">
        <f>"FHB"</f>
        <v>FHB</v>
      </c>
      <c r="F99" t="str">
        <f>"FHO"</f>
        <v>FHO</v>
      </c>
      <c r="G99" t="str">
        <f>"G99"</f>
        <v>G99</v>
      </c>
      <c r="H99" t="str">
        <f>"GGH"</f>
        <v>GGH</v>
      </c>
      <c r="I99" t="str">
        <f>"GNA"</f>
        <v>GNA</v>
      </c>
      <c r="J99" t="str">
        <f>"GNQ"</f>
        <v>GNQ</v>
      </c>
      <c r="K99" t="str">
        <f>"HD7"</f>
        <v>HD7</v>
      </c>
      <c r="L99" t="str">
        <f>"HQ3"</f>
        <v>HQ3</v>
      </c>
      <c r="M99" t="str">
        <f>"HS1"</f>
        <v>HS1</v>
      </c>
      <c r="N99" t="str">
        <f>"IKR"</f>
        <v>IKR</v>
      </c>
      <c r="O99" t="str">
        <f>"IVD"</f>
        <v>IVD</v>
      </c>
    </row>
    <row r="100" spans="1:15" x14ac:dyDescent="0.2">
      <c r="A100" t="str">
        <f>"J23"</f>
        <v>J23</v>
      </c>
      <c r="B100" t="str">
        <f>"J6F"</f>
        <v>J6F</v>
      </c>
      <c r="C100" t="str">
        <f>"J71"</f>
        <v>J71</v>
      </c>
      <c r="D100" t="str">
        <f>"JE0"</f>
        <v>JE0</v>
      </c>
      <c r="E100" t="str">
        <f>"JF5"</f>
        <v>JF5</v>
      </c>
      <c r="F100" t="str">
        <f>"JJ2"</f>
        <v>JJ2</v>
      </c>
      <c r="G100" t="str">
        <f>"JM8"</f>
        <v>JM8</v>
      </c>
      <c r="H100" t="str">
        <f>"JQ5"</f>
        <v>JQ5</v>
      </c>
      <c r="I100" t="str">
        <f>"K1O"</f>
        <v>K1O</v>
      </c>
      <c r="J100" t="str">
        <f>"K4C"</f>
        <v>K4C</v>
      </c>
      <c r="K100" t="str">
        <f>"K6L"</f>
        <v>K6L</v>
      </c>
      <c r="L100" t="str">
        <f>"KA1"</f>
        <v>KA1</v>
      </c>
      <c r="M100" t="str">
        <f>"KB7"</f>
        <v>KB7</v>
      </c>
      <c r="N100" t="str">
        <f>"KI3"</f>
        <v>KI3</v>
      </c>
      <c r="O100" t="str">
        <f>"KL9"</f>
        <v>KL9</v>
      </c>
    </row>
    <row r="101" spans="1:15" x14ac:dyDescent="0.2">
      <c r="A101" t="str">
        <f>"KSG"</f>
        <v>KSG</v>
      </c>
      <c r="B101" t="str">
        <f>"KU9"</f>
        <v>KU9</v>
      </c>
      <c r="C101" t="str">
        <f>"LHD"</f>
        <v>LHD</v>
      </c>
      <c r="D101" t="str">
        <f>"LXH"</f>
        <v>LXH</v>
      </c>
      <c r="E101" t="str">
        <f>"M3H"</f>
        <v>M3H</v>
      </c>
      <c r="F101" t="str">
        <f>"MAO"</f>
        <v>MAO</v>
      </c>
      <c r="G101" t="str">
        <f>"MFI"</f>
        <v>MFI</v>
      </c>
      <c r="H101" t="str">
        <f>"MM1"</f>
        <v>MM1</v>
      </c>
      <c r="I101" t="str">
        <f>"N08"</f>
        <v>N08</v>
      </c>
      <c r="J101" t="str">
        <f>"N2D"</f>
        <v>N2D</v>
      </c>
      <c r="K101" t="str">
        <f>"N37"</f>
        <v>N37</v>
      </c>
      <c r="L101" t="str">
        <f>"N5L"</f>
        <v>N5L</v>
      </c>
      <c r="M101" t="str">
        <f>"NAM"</f>
        <v>NAM</v>
      </c>
      <c r="N101" t="str">
        <f>"ND8"</f>
        <v>ND8</v>
      </c>
      <c r="O101" t="str">
        <f>"NFD"</f>
        <v>NFD</v>
      </c>
    </row>
    <row r="102" spans="1:15" x14ac:dyDescent="0.2">
      <c r="A102" t="str">
        <f>"NKC"</f>
        <v>NKC</v>
      </c>
      <c r="B102" t="str">
        <f>"NKD"</f>
        <v>NKD</v>
      </c>
      <c r="C102" t="str">
        <f>"PAP"</f>
        <v>PAP</v>
      </c>
      <c r="D102" t="str">
        <f>"PPW"</f>
        <v>PPW</v>
      </c>
      <c r="E102" t="str">
        <f>"PS4"</f>
        <v>PS4</v>
      </c>
      <c r="F102" t="str">
        <f>"Q2T"</f>
        <v>Q2T</v>
      </c>
      <c r="G102" t="str">
        <f>"REH"</f>
        <v>REH</v>
      </c>
      <c r="H102" t="str">
        <f>"RSR"</f>
        <v>RSR</v>
      </c>
      <c r="I102" t="str">
        <f>"T4L"</f>
        <v>T4L</v>
      </c>
      <c r="J102" t="str">
        <f>"T79"</f>
        <v>T79</v>
      </c>
      <c r="K102" t="str">
        <f>"T7E"</f>
        <v>T7E</v>
      </c>
      <c r="L102" t="str">
        <f>"T87"</f>
        <v>T87</v>
      </c>
      <c r="M102" t="str">
        <f>"TB5"</f>
        <v>TB5</v>
      </c>
      <c r="N102" t="str">
        <f>"TB8"</f>
        <v>TB8</v>
      </c>
      <c r="O102" t="str">
        <f>"TD1"</f>
        <v>TD1</v>
      </c>
    </row>
    <row r="103" spans="1:15" x14ac:dyDescent="0.2">
      <c r="A103" t="str">
        <f>"TDC"</f>
        <v>TDC</v>
      </c>
      <c r="B103" t="str">
        <f>"TFK"</f>
        <v>TFK</v>
      </c>
      <c r="C103" t="str">
        <f>"TQ5"</f>
        <v>TQ5</v>
      </c>
      <c r="D103" t="str">
        <f>"TR6"</f>
        <v>TR6</v>
      </c>
      <c r="E103" t="str">
        <f>"TSQ"</f>
        <v>TSQ</v>
      </c>
      <c r="F103" t="str">
        <f>"TTW"</f>
        <v>TTW</v>
      </c>
      <c r="G103" t="str">
        <f>"U18"</f>
        <v>U18</v>
      </c>
      <c r="H103" t="str">
        <f>"UB3"</f>
        <v>UB3</v>
      </c>
      <c r="I103" t="str">
        <f>"UBD"</f>
        <v>UBD</v>
      </c>
      <c r="J103" t="str">
        <f>"UBI"</f>
        <v>UBI</v>
      </c>
      <c r="K103" t="str">
        <f>"UD5"</f>
        <v>UD5</v>
      </c>
      <c r="L103" t="str">
        <f>"UE1"</f>
        <v>UE1</v>
      </c>
      <c r="M103" t="str">
        <f>"UE4"</f>
        <v>UE4</v>
      </c>
      <c r="N103" t="str">
        <f>"UEC"</f>
        <v>UEC</v>
      </c>
      <c r="O103" t="str">
        <f>"UEN"</f>
        <v>UEN</v>
      </c>
    </row>
    <row r="104" spans="1:15" x14ac:dyDescent="0.2">
      <c r="A104" t="str">
        <f>"UEU"</f>
        <v>UEU</v>
      </c>
      <c r="B104" t="str">
        <f>"UFG"</f>
        <v>UFG</v>
      </c>
      <c r="C104" t="str">
        <f>"UGE"</f>
        <v>UGE</v>
      </c>
      <c r="D104" t="str">
        <f>"UGN"</f>
        <v>UGN</v>
      </c>
      <c r="E104" t="str">
        <f>"UHG"</f>
        <v>UHG</v>
      </c>
      <c r="F104" t="str">
        <f>"UHH"</f>
        <v>UHH</v>
      </c>
      <c r="G104" t="str">
        <f>"UHO"</f>
        <v>UHO</v>
      </c>
      <c r="H104" t="str">
        <f>"UHX"</f>
        <v>UHX</v>
      </c>
      <c r="I104" t="str">
        <f>"UJN"</f>
        <v>UJN</v>
      </c>
      <c r="J104" t="str">
        <f>"UKI"</f>
        <v>UKI</v>
      </c>
      <c r="K104" t="str">
        <f>"UKT"</f>
        <v>UKT</v>
      </c>
      <c r="L104" t="str">
        <f>"UL5"</f>
        <v>UL5</v>
      </c>
      <c r="M104" t="str">
        <f>"UQS"</f>
        <v>UQS</v>
      </c>
      <c r="N104" t="str">
        <f>"URB"</f>
        <v>URB</v>
      </c>
      <c r="O104" t="str">
        <f>"URT"</f>
        <v>URT</v>
      </c>
    </row>
    <row r="105" spans="1:15" x14ac:dyDescent="0.2">
      <c r="A105" t="str">
        <f>"UV6"</f>
        <v>UV6</v>
      </c>
      <c r="B105" t="str">
        <f>"UVX"</f>
        <v>UVX</v>
      </c>
      <c r="C105" t="str">
        <f>"UXP"</f>
        <v>UXP</v>
      </c>
      <c r="D105" t="str">
        <f>"V5H"</f>
        <v>V5H</v>
      </c>
      <c r="E105" t="str">
        <f>"V76"</f>
        <v>V76</v>
      </c>
      <c r="F105" t="str">
        <f>"V86"</f>
        <v>V86</v>
      </c>
      <c r="G105" t="str">
        <f>"VA3"</f>
        <v>VA3</v>
      </c>
      <c r="H105" t="str">
        <f>"VDZ"</f>
        <v>VDZ</v>
      </c>
      <c r="I105" t="str">
        <f>"VH9"</f>
        <v>VH9</v>
      </c>
      <c r="J105" t="str">
        <f>"VLF"</f>
        <v>VLF</v>
      </c>
      <c r="K105" t="str">
        <f>"VRF"</f>
        <v>VRF</v>
      </c>
      <c r="L105" t="str">
        <f>"VRG"</f>
        <v>VRG</v>
      </c>
      <c r="M105" t="str">
        <f>"VRH"</f>
        <v>VRH</v>
      </c>
      <c r="N105" t="str">
        <f>"VRJ"</f>
        <v>VRJ</v>
      </c>
      <c r="O105" t="str">
        <f>"VRK"</f>
        <v>VRK</v>
      </c>
    </row>
    <row r="106" spans="1:15" x14ac:dyDescent="0.2">
      <c r="A106" t="str">
        <f>"VRL"</f>
        <v>VRL</v>
      </c>
      <c r="B106" t="str">
        <f>"VRM"</f>
        <v>VRM</v>
      </c>
      <c r="C106" t="str">
        <f>"VRN"</f>
        <v>VRN</v>
      </c>
      <c r="D106" t="str">
        <f>"VRR"</f>
        <v>VRR</v>
      </c>
      <c r="E106" t="str">
        <f>"VTI"</f>
        <v>VTI</v>
      </c>
      <c r="F106" t="str">
        <f>"VV4"</f>
        <v>VV4</v>
      </c>
      <c r="G106" t="str">
        <f>"WF9"</f>
        <v>WF9</v>
      </c>
      <c r="H106" t="str">
        <f>"WMX"</f>
        <v>WMX</v>
      </c>
      <c r="I106" t="str">
        <f>"XL8"</f>
        <v>XL8</v>
      </c>
      <c r="J106" t="str">
        <f>"Y7C"</f>
        <v>Y7C</v>
      </c>
      <c r="K106" t="str">
        <f>"ZN2"</f>
        <v>ZN2</v>
      </c>
      <c r="L106" t="str">
        <f>"ZRE"</f>
        <v>ZRE</v>
      </c>
    </row>
    <row r="108" spans="1:15" x14ac:dyDescent="0.2">
      <c r="A108" t="s">
        <v>15</v>
      </c>
    </row>
    <row r="109" spans="1:15" x14ac:dyDescent="0.2">
      <c r="A109" t="s">
        <v>16</v>
      </c>
    </row>
    <row r="110" spans="1:15" x14ac:dyDescent="0.2">
      <c r="A110" t="s">
        <v>17</v>
      </c>
    </row>
    <row r="111" spans="1:15" x14ac:dyDescent="0.2">
      <c r="A111" t="s">
        <v>18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OPTIONS_s3etlk_221226_1433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Xue 洪雪(PC&amp;L,SDY)</dc:creator>
  <cp:lastModifiedBy>Hong Xue 洪雪(PC&amp;L,SDY)</cp:lastModifiedBy>
  <dcterms:created xsi:type="dcterms:W3CDTF">2022-12-26T06:35:31Z</dcterms:created>
  <dcterms:modified xsi:type="dcterms:W3CDTF">2022-12-26T06:35:31Z</dcterms:modified>
</cp:coreProperties>
</file>